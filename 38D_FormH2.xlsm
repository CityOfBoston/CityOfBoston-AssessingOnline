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5" yWindow="120" windowWidth="14970" windowHeight="12705" tabRatio="729"/>
  </bookViews>
  <sheets>
    <sheet name="38D_Overview" sheetId="12" r:id="rId1"/>
    <sheet name="IncomeExpenseReport" sheetId="1" state="hidden" r:id="rId2"/>
    <sheet name="Section 1" sheetId="7" state="hidden" r:id="rId3"/>
    <sheet name="Section 2" sheetId="8" state="hidden" r:id="rId4"/>
    <sheet name="Section 3" sheetId="9" state="hidden" r:id="rId5"/>
    <sheet name="Section 4" sheetId="17" state="hidden" r:id="rId6"/>
    <sheet name="Section 5" sheetId="11" state="hidden" r:id="rId7"/>
    <sheet name="Section 6" sheetId="10" state="hidden" r:id="rId8"/>
    <sheet name="Section 7" sheetId="22" state="hidden" r:id="rId9"/>
    <sheet name="Section 8" sheetId="20" state="hidden" r:id="rId10"/>
    <sheet name="SummarySheet" sheetId="21" state="hidden" r:id="rId11"/>
  </sheets>
  <functionGroups builtInGroupCount="17"/>
  <definedNames>
    <definedName name="Administrative___General">IncomeExpenseReport!$B$35</definedName>
    <definedName name="Alert">SummarySheet!$A$4</definedName>
    <definedName name="All_Blanks">IncomeExpenseReport!$C$75</definedName>
    <definedName name="AnswerNeeded" comment="Red Cells">IncomeExpenseReport!$B$5:$B$9,IncomeExpenseReport!$B$13:$B$18,IncomeExpenseReport!$D$17,IncomeExpenseReport!$B$26:$B$29,IncomeExpenseReport!$B$35:$B$39,IncomeExpenseReport!$B$45:$B$48,IncomeExpenseReport!$B$53:$B$55</definedName>
    <definedName name="Automated" comment="No input in these cells, comes form other cell input.">IncomeExpenseReport!$B$10,IncomeExpenseReport!$B$19:$B$23,IncomeExpenseReport!$B$30:$B$32,IncomeExpenseReport!$B$40,IncomeExpenseReport!$B$49,IncomeExpenseReport!$B$52,IncomeExpenseReport!$B$56,IncomeExpenseReport!$B$58</definedName>
    <definedName name="Available_Room_Nights">IncomeExpenseReport!$B$6</definedName>
    <definedName name="Average_Daily_Rate__ADR">IncomeExpenseReport!$B$9</definedName>
    <definedName name="BasicData">'38D_Overview'!$B$27:$B$29,'38D_Overview'!$D$27,'38D_Overview'!$B$23:$B$25,'38D_Overview'!$D$23,'38D_Overview'!$B$7:$B$20</definedName>
    <definedName name="Beverage">IncomeExpenseReport!$B$15</definedName>
    <definedName name="Beverage_Revenue">IncomeExpenseReport!$B$15</definedName>
    <definedName name="Capital_Expenditures">IncomeExpenseReport!$B$52</definedName>
    <definedName name="Check" localSheetId="8">#REF!</definedName>
    <definedName name="Cost_of_Beverage">IncomeExpenseReport!$B$28</definedName>
    <definedName name="Cost_of_Food">IncomeExpenseReport!$B$27</definedName>
    <definedName name="Data">IncomeExpenseReport!$B$4:$B$10,IncomeExpenseReport!$B$13:$B$23,IncomeExpenseReport!$B$26:$B$32,IncomeExpenseReport!$B$35:$B$40,IncomeExpenseReport!$B$43:$B$49,IncomeExpenseReport!$B$52:$B$56,IncomeExpenseReport!$B$58</definedName>
    <definedName name="Departmental_Other_Expenses">IncomeExpenseReport!$B$30</definedName>
    <definedName name="Food">IncomeExpenseReport!$B$14</definedName>
    <definedName name="Food___Beverage_Other_Income">IncomeExpenseReport!$B$21</definedName>
    <definedName name="Food_Revenue">IncomeExpenseReport!$B$14</definedName>
    <definedName name="Franchise_Fee">IncomeExpenseReport!$B$53</definedName>
    <definedName name="General_Information">IncomeExpenseReport!$A$4:$A$58</definedName>
    <definedName name="Ground_Rent">IncomeExpenseReport!$B$55</definedName>
    <definedName name="Hotel_Operated_Shop_Revenue">IncomeExpenseReport!$B$19</definedName>
    <definedName name="Images" localSheetId="8">#REF!</definedName>
    <definedName name="Incentive_Management_Fee">IncomeExpenseReport!$B$46</definedName>
    <definedName name="IncomeExpenseReport">IncomeExpenseReport!$A$4:$B$58</definedName>
    <definedName name="Information_and_Telecommunication_Systems">IncomeExpenseReport!#REF!</definedName>
    <definedName name="Insurance">IncomeExpenseReport!$B$45</definedName>
    <definedName name="Leased_Space_Revenue">IncomeExpenseReport!$B$20</definedName>
    <definedName name="LeaseTypes">'Section 2'!$E$34:$E$37</definedName>
    <definedName name="Management_Fee">IncomeExpenseReport!$B$36</definedName>
    <definedName name="Marketing">IncomeExpenseReport!$B$37</definedName>
    <definedName name="Meeting_Rooms">IncomeExpenseReport!$B$18</definedName>
    <definedName name="Meeting_Rooms_revenue">IncomeExpenseReport!$B$18</definedName>
    <definedName name="Miscellaneous_Other_Expenses">IncomeExpenseReport!$B$31</definedName>
    <definedName name="Municipal_Charges">IncomeExpenseReport!$B$47</definedName>
    <definedName name="MustFill" localSheetId="8">IncomeExpenseReport!#REF!,IncomeExpenseReport!#REF!,IncomeExpenseReport!#REF!,IncomeExpenseReport!#REF!</definedName>
    <definedName name="MustFill" localSheetId="9">IncomeExpenseReport!#REF!,IncomeExpenseReport!#REF!,IncomeExpenseReport!#REF!,IncomeExpenseReport!#REF!</definedName>
    <definedName name="MustFill">IncomeExpenseReport!#REF!,IncomeExpenseReport!#REF!,IncomeExpenseReport!#REF!,IncomeExpenseReport!#REF!</definedName>
    <definedName name="Net_Operating_Income">IncomeExpenseReport!$B$58</definedName>
    <definedName name="NoBlanks">'38D_Overview'!$F$38</definedName>
    <definedName name="Number_of_Rooms">IncomeExpenseReport!$B$5</definedName>
    <definedName name="Other">IncomeExpenseReport!$B$48</definedName>
    <definedName name="Other_Revenue">IncomeExpenseReport!$B$22</definedName>
    <definedName name="OwnerSig">'38D_Overview'!$B$33</definedName>
    <definedName name="Parking_Revenue">IncomeExpenseReport!$B$17</definedName>
    <definedName name="Percent_Occupancy">IncomeExpenseReport!$B$7</definedName>
    <definedName name="PreparerSig">'38D_Overview'!$C$33</definedName>
    <definedName name="_xlnm.Print_Area" localSheetId="0">'38D_Overview'!$A$1:$K$30</definedName>
    <definedName name="_xlnm.Print_Area" localSheetId="1">IncomeExpenseReport!$A$1:$E$58</definedName>
    <definedName name="_xlnm.Print_Area" localSheetId="2">'Section 1'!$A$1:$D$23</definedName>
    <definedName name="_xlnm.Print_Area" localSheetId="3">'Section 2'!$A$1:$L$24</definedName>
    <definedName name="_xlnm.Print_Area" localSheetId="4">'Section 3'!$A$1:$C$23</definedName>
    <definedName name="_xlnm.Print_Area" localSheetId="5">'Section 4'!$A$1:$C$23</definedName>
    <definedName name="_xlnm.Print_Area" localSheetId="6">'Section 5'!$A$1:$C$23</definedName>
    <definedName name="_xlnm.Print_Area" localSheetId="7">'Section 6'!$A$1:$C$23</definedName>
    <definedName name="_xlnm.Print_Area" localSheetId="8">'Section 7'!$A$1:$C$23</definedName>
    <definedName name="_xlnm.Print_Area" localSheetId="9">'Section 8'!$A$1:$F$23</definedName>
    <definedName name="_xlnm.Print_Area" localSheetId="10">SummarySheet!$A$1:$B$12</definedName>
    <definedName name="Repairs___Maintenance">IncomeExpenseReport!$B$38</definedName>
    <definedName name="ReportCategories">IncomeExpenseReport!$A$4:$A$10,IncomeExpenseReport!$A$13:$A$23,IncomeExpenseReport!$A$26:$A$32,IncomeExpenseReport!$A$22:$A$40,IncomeExpenseReport!$A$45:$A$49,IncomeExpenseReport!$A$53:$A$56</definedName>
    <definedName name="Required_Overview">'38D_Overview'!$B$7:$B$20,'38D_Overview'!$B$23:$B$25,'38D_Overview'!$D$23:$E$23,'38D_Overview'!$D$27:$E$27,'38D_Overview'!$B$27:$B$29</definedName>
    <definedName name="Required_Report">IncomeExpenseReport!$B$5,IncomeExpenseReport!$B$7,IncomeExpenseReport!$B$9,IncomeExpenseReport!$B$13:$B$18,IncomeExpenseReport!$D$19:$D$22,IncomeExpenseReport!$B$26:$B$29,IncomeExpenseReport!$D$30,IncomeExpenseReport!$D$31,IncomeExpenseReport!$B$35:$B$39,IncomeExpenseReport!$B$43:$B$47,IncomeExpenseReport!$D$48,IncomeExpenseReport!$D$52,IncomeExpenseReport!$B$53:$B$55</definedName>
    <definedName name="Reserve_Replacement">IncomeExpenseReport!$B$54</definedName>
    <definedName name="Return_of_Personal_Property">IncomeExpenseReport!$B$44</definedName>
    <definedName name="Return_on_Personal_Property">IncomeExpenseReport!$B$43</definedName>
    <definedName name="Revenue_Per_Available_Room__RevPAR">IncomeExpenseReport!$B$10</definedName>
    <definedName name="Rooms">IncomeExpenseReport!$B$26</definedName>
    <definedName name="Rooms_Revenue">IncomeExpenseReport!$B$13</definedName>
    <definedName name="Section1">IncomeExpenseReport!$D$19</definedName>
    <definedName name="Section1Link">IncomeExpenseReport!$E$19</definedName>
    <definedName name="Section2">IncomeExpenseReport!$D$20</definedName>
    <definedName name="Section2Link">IncomeExpenseReport!$E$20</definedName>
    <definedName name="Section3">IncomeExpenseReport!$D$21</definedName>
    <definedName name="Section3Link">IncomeExpenseReport!$E$21</definedName>
    <definedName name="Section4">IncomeExpenseReport!$D$22</definedName>
    <definedName name="Section4Link">IncomeExpenseReport!$E$22</definedName>
    <definedName name="Section5">IncomeExpenseReport!$D$30</definedName>
    <definedName name="Section5Link">IncomeExpenseReport!$E$30</definedName>
    <definedName name="Section6">IncomeExpenseReport!$D$31</definedName>
    <definedName name="Section6Link">IncomeExpenseReport!$E$31</definedName>
    <definedName name="Section7">IncomeExpenseReport!$D$48</definedName>
    <definedName name="Section7Link">IncomeExpenseReport!$E$48</definedName>
    <definedName name="Section8">IncomeExpenseReport!$D$52</definedName>
    <definedName name="Section8Link">IncomeExpenseReport!$E$52</definedName>
    <definedName name="Telephone">IncomeExpenseReport!$B$29</definedName>
    <definedName name="Telephone_Revenue">IncomeExpenseReport!$B$16</definedName>
    <definedName name="Total_Blanks">IncomeExpenseReport!#REF!</definedName>
    <definedName name="Total_Expense">IncomeExpenseReport!$B$32</definedName>
    <definedName name="Total_Fixed">IncomeExpenseReport!$B$49</definedName>
    <definedName name="Total_Other">IncomeExpenseReport!$B$56</definedName>
    <definedName name="Total_Revenue">IncomeExpenseReport!$B$23</definedName>
    <definedName name="Total_Unallocated">IncomeExpenseReport!$B$40</definedName>
    <definedName name="TotalBlanks">'38D_Overview'!$E$38</definedName>
    <definedName name="Utilities">IncomeExpenseReport!$B$39</definedName>
    <definedName name="Z_3687FC8B_D0CB_43C9_8478_35DEF022FA39_.wvu.PrintArea" localSheetId="0" hidden="1">'38D_Overview'!$A$2:$K$30</definedName>
    <definedName name="Z_3687FC8B_D0CB_43C9_8478_35DEF022FA39_.wvu.PrintArea" localSheetId="1" hidden="1">IncomeExpenseReport!$A$3:$E$60</definedName>
    <definedName name="Z_3687FC8B_D0CB_43C9_8478_35DEF022FA39_.wvu.PrintArea" localSheetId="2" hidden="1">'Section 1'!$A$3:$D$23</definedName>
    <definedName name="Z_3687FC8B_D0CB_43C9_8478_35DEF022FA39_.wvu.PrintArea" localSheetId="3" hidden="1">'Section 2'!$A$3:$L$24</definedName>
    <definedName name="Z_3687FC8B_D0CB_43C9_8478_35DEF022FA39_.wvu.PrintArea" localSheetId="4" hidden="1">'Section 3'!$A$3:$C$23</definedName>
    <definedName name="Z_3687FC8B_D0CB_43C9_8478_35DEF022FA39_.wvu.PrintArea" localSheetId="6" hidden="1">'Section 5'!$A$4:$C$23</definedName>
    <definedName name="Z_3687FC8B_D0CB_43C9_8478_35DEF022FA39_.wvu.PrintArea" localSheetId="7" hidden="1">'Section 6'!$A$4:$C$23</definedName>
    <definedName name="Z_3687FC8B_D0CB_43C9_8478_35DEF022FA39_.wvu.PrintArea" localSheetId="8" hidden="1">'Section 7'!$A$3:$C$23</definedName>
    <definedName name="Z_3687FC8B_D0CB_43C9_8478_35DEF022FA39_.wvu.PrintArea" localSheetId="9" hidden="1">'Section 8'!$A$3:$F$23</definedName>
  </definedNames>
  <calcPr calcId="145621"/>
  <customWorkbookViews>
    <customWorkbookView name="38D_Overview" guid="{3687FC8B-D0CB-43C9-8478-35DEF022FA39}" includeHiddenRowCol="0" maximized="1" windowWidth="1920" windowHeight="855" tabRatio="729" activeSheetId="12"/>
  </customWorkbookViews>
</workbook>
</file>

<file path=xl/calcChain.xml><?xml version="1.0" encoding="utf-8"?>
<calcChain xmlns="http://schemas.openxmlformats.org/spreadsheetml/2006/main">
  <c r="B6" i="21" l="1"/>
  <c r="B6" i="1" l="1"/>
  <c r="B8" i="1"/>
  <c r="B8" i="21"/>
  <c r="B7" i="21"/>
  <c r="B5" i="21"/>
  <c r="C71" i="1"/>
  <c r="C70" i="1"/>
  <c r="C69" i="1"/>
  <c r="C68" i="1"/>
  <c r="C67" i="1"/>
  <c r="C66" i="1"/>
  <c r="C65" i="1"/>
  <c r="C64" i="1"/>
  <c r="A12" i="21"/>
  <c r="C24" i="22" l="1"/>
  <c r="B48" i="1" l="1"/>
  <c r="G4" i="21"/>
  <c r="F4" i="21"/>
  <c r="E4" i="21"/>
  <c r="F48" i="1" l="1"/>
  <c r="B49" i="1"/>
  <c r="H4" i="21"/>
  <c r="F17" i="1" l="1"/>
  <c r="C24" i="7"/>
  <c r="B19" i="1" l="1"/>
  <c r="B4" i="1"/>
  <c r="E35" i="12"/>
  <c r="E34" i="12"/>
  <c r="E33" i="12"/>
  <c r="F19" i="1" l="1"/>
  <c r="E37" i="12"/>
  <c r="E36" i="12"/>
  <c r="E38" i="12" l="1"/>
  <c r="C74" i="1" s="1"/>
  <c r="F24" i="20" l="1"/>
  <c r="B52" i="1" l="1"/>
  <c r="F52" i="1" s="1"/>
  <c r="B10" i="1"/>
  <c r="C24" i="9"/>
  <c r="B21" i="1" s="1"/>
  <c r="F21" i="1" s="1"/>
  <c r="B40" i="1"/>
  <c r="B56" i="1" l="1"/>
  <c r="C24" i="17"/>
  <c r="B22" i="1" l="1"/>
  <c r="F22" i="1" s="1"/>
  <c r="C24" i="10" l="1"/>
  <c r="B31" i="1" s="1"/>
  <c r="C24" i="11"/>
  <c r="B30" i="1" s="1"/>
  <c r="B32" i="1" l="1"/>
  <c r="F31" i="1"/>
  <c r="F30" i="1"/>
  <c r="M6" i="8"/>
  <c r="M7" i="8"/>
  <c r="M8" i="8"/>
  <c r="M9" i="8"/>
  <c r="M10" i="8"/>
  <c r="M11" i="8"/>
  <c r="M12" i="8"/>
  <c r="M13" i="8"/>
  <c r="M14" i="8"/>
  <c r="M15" i="8"/>
  <c r="M16" i="8"/>
  <c r="M17" i="8"/>
  <c r="M18" i="8"/>
  <c r="M19" i="8"/>
  <c r="M20" i="8"/>
  <c r="M21" i="8"/>
  <c r="M22" i="8"/>
  <c r="M23" i="8"/>
  <c r="M24" i="8"/>
  <c r="M5" i="8"/>
  <c r="M25" i="8" l="1"/>
  <c r="B20" i="1" l="1"/>
  <c r="F20" i="1" l="1"/>
  <c r="B23" i="1"/>
  <c r="B58" i="1" s="1"/>
  <c r="C72" i="1" l="1"/>
  <c r="C73" i="1" s="1"/>
  <c r="C75" i="1" s="1"/>
</calcChain>
</file>

<file path=xl/sharedStrings.xml><?xml version="1.0" encoding="utf-8"?>
<sst xmlns="http://schemas.openxmlformats.org/spreadsheetml/2006/main" count="203" uniqueCount="157">
  <si>
    <t>Food</t>
  </si>
  <si>
    <t>Beverage</t>
  </si>
  <si>
    <t>Telephone</t>
  </si>
  <si>
    <t>Parking Revenue</t>
  </si>
  <si>
    <t>Meeting Rooms</t>
  </si>
  <si>
    <t>Leased Space Revenue</t>
  </si>
  <si>
    <t>Total Revenue</t>
  </si>
  <si>
    <t>Cost of Food</t>
  </si>
  <si>
    <t>Cost of Beverage</t>
  </si>
  <si>
    <t>Total Expense</t>
  </si>
  <si>
    <t>Management Fee</t>
  </si>
  <si>
    <t>Marketing</t>
  </si>
  <si>
    <t>Total Unallocated</t>
  </si>
  <si>
    <t>Insurance</t>
  </si>
  <si>
    <t>Other</t>
  </si>
  <si>
    <t>Total Fixed</t>
  </si>
  <si>
    <t>Revenue Source</t>
  </si>
  <si>
    <t>Floor</t>
  </si>
  <si>
    <t>Use of Space</t>
  </si>
  <si>
    <t>Rentable Area (SF)</t>
  </si>
  <si>
    <t>Tenant Fit-out ($/SF)</t>
  </si>
  <si>
    <t>Commission ($/SF)</t>
  </si>
  <si>
    <t>Total Amount</t>
  </si>
  <si>
    <t>Expenses</t>
  </si>
  <si>
    <t>Fixed Charges</t>
  </si>
  <si>
    <t>Expense Source</t>
  </si>
  <si>
    <t>Free rent Term (in months)</t>
  </si>
  <si>
    <t>Revenue</t>
  </si>
  <si>
    <t>Dear Owner/Representative:</t>
  </si>
  <si>
    <t>Contact Email Address:</t>
  </si>
  <si>
    <t>Name of Preparer:</t>
  </si>
  <si>
    <t>Name of Owner:</t>
  </si>
  <si>
    <t>Date:</t>
  </si>
  <si>
    <t>Fill out Section 2</t>
  </si>
  <si>
    <t>Fill out Section 3</t>
  </si>
  <si>
    <t>Fill out Section 4</t>
  </si>
  <si>
    <t>Fill out Section 5</t>
  </si>
  <si>
    <t>Please submit the following information:</t>
  </si>
  <si>
    <t>Example</t>
  </si>
  <si>
    <t>Mezzanine</t>
  </si>
  <si>
    <t>Black Tie Café</t>
  </si>
  <si>
    <t>Café</t>
  </si>
  <si>
    <t>Lease Term (in months)</t>
  </si>
  <si>
    <t>Lease Start Date (mm/dd/yyyy)</t>
  </si>
  <si>
    <t>Return to Income Expense Report</t>
  </si>
  <si>
    <t>Number of Rooms</t>
  </si>
  <si>
    <t>Percent Occupancy</t>
  </si>
  <si>
    <t>General Information</t>
  </si>
  <si>
    <t>Franchise Fee</t>
  </si>
  <si>
    <t>Reserve Replacement</t>
  </si>
  <si>
    <t>Ground Rent</t>
  </si>
  <si>
    <t>Total Other</t>
  </si>
  <si>
    <t>Net Operating Income</t>
  </si>
  <si>
    <t>Number of Parking Spaces</t>
  </si>
  <si>
    <t>Rooms</t>
  </si>
  <si>
    <t>Food &amp; Beverage Other Income</t>
  </si>
  <si>
    <t>Administrative &amp; General</t>
  </si>
  <si>
    <t>Return on Personal Property</t>
  </si>
  <si>
    <t>Return of Personal Property</t>
  </si>
  <si>
    <t>N</t>
  </si>
  <si>
    <t>Gross</t>
  </si>
  <si>
    <t>NN</t>
  </si>
  <si>
    <t>NNN</t>
  </si>
  <si>
    <t>Incentive Management Fee</t>
  </si>
  <si>
    <t>Miscellaneous Other Expenses</t>
  </si>
  <si>
    <t>Departmental Other Expenses</t>
  </si>
  <si>
    <t>Municipal Charges</t>
  </si>
  <si>
    <t>Unallocated Expenses</t>
  </si>
  <si>
    <t>Other Expenses</t>
  </si>
  <si>
    <t>Name of Hotel/ Motel/ Bed &amp; Breakfast</t>
  </si>
  <si>
    <t>Other Revenue</t>
  </si>
  <si>
    <t xml:space="preserve">Hotel Operated Shop Revenue   </t>
  </si>
  <si>
    <t>Utilities</t>
  </si>
  <si>
    <t>Repairs &amp; Maintenance</t>
  </si>
  <si>
    <t>Fill out Section 6</t>
  </si>
  <si>
    <t>Average Daily Rate (ADR)</t>
  </si>
  <si>
    <t>Revenue Per Available Room (RevPAR)</t>
  </si>
  <si>
    <t>Available Room Nights</t>
  </si>
  <si>
    <t>Capital Expenditures</t>
  </si>
  <si>
    <t>Total Revenue Collected</t>
  </si>
  <si>
    <t>Rentable SF</t>
  </si>
  <si>
    <t>Lease Basis (Gross, N, NN, NNN)</t>
  </si>
  <si>
    <t>Expense Amount</t>
  </si>
  <si>
    <t>Fill out Section 7</t>
  </si>
  <si>
    <t>Tenant Name</t>
  </si>
  <si>
    <t>Any text</t>
  </si>
  <si>
    <t>0 or greater</t>
  </si>
  <si>
    <t>Do you earn revenue from hotel operated shops?</t>
  </si>
  <si>
    <t>Yes</t>
  </si>
  <si>
    <t>No</t>
  </si>
  <si>
    <t>Do you earn revenue from leased space?</t>
  </si>
  <si>
    <t>Do you earn revenue from other food and beverage income?</t>
  </si>
  <si>
    <t>Do you have capital expenditures?</t>
  </si>
  <si>
    <t xml:space="preserve">Do you have other departmental expenses? </t>
  </si>
  <si>
    <t>Do you have other miscellaneous expenses?</t>
  </si>
  <si>
    <t>Phone Number:</t>
  </si>
  <si>
    <t>Building Name (Hotel/Motel/Bed &amp; Breakfast):</t>
  </si>
  <si>
    <t>Parcel ID Number(s)*:</t>
  </si>
  <si>
    <t>Property Street Address:</t>
  </si>
  <si>
    <t>City:</t>
  </si>
  <si>
    <t>State:</t>
  </si>
  <si>
    <t>Zip Code:</t>
  </si>
  <si>
    <t>Owner Name:</t>
  </si>
  <si>
    <t>Owner Company Name:</t>
  </si>
  <si>
    <t>Owner Street Address:</t>
  </si>
  <si>
    <t>Owner City:</t>
  </si>
  <si>
    <t>Representative Name:</t>
  </si>
  <si>
    <t>Email Address:</t>
  </si>
  <si>
    <t>Affidavit</t>
  </si>
  <si>
    <t>Please answer using the drop down menu:</t>
  </si>
  <si>
    <t>Sum Column F</t>
  </si>
  <si>
    <t>Fill out Section 1</t>
  </si>
  <si>
    <t>MA</t>
  </si>
  <si>
    <t>Boston</t>
  </si>
  <si>
    <t>Failure to comply within 60 days may bar you from appealing the assessment to the Massachusetts Appellate Tax Board.  Furthermore, failure to comply will result in a two hundred fifty–dollar ($250) penalty being levied.  The penalty will appear on next year’s tax bill. All information submitted is confidential.</t>
  </si>
  <si>
    <t>Do you earn revenue from other sources?</t>
  </si>
  <si>
    <t>Thank you, your data entry is complete.  If you have any comments regarding your data, please enter them in the box below:</t>
  </si>
  <si>
    <t>Comments
Section</t>
  </si>
  <si>
    <t>FY 2018 
City of Boston
38D Property Tax Return
Form H: Hotel/Motel/Bed &amp; Breakfast</t>
  </si>
  <si>
    <t>Occupied Room Nights</t>
  </si>
  <si>
    <t>Do you have other fixed charges?</t>
  </si>
  <si>
    <t>Fill out Section 8</t>
  </si>
  <si>
    <t>Section 8: Capital Expenditures</t>
  </si>
  <si>
    <t>Section 7: Other Fixed Charges</t>
  </si>
  <si>
    <t>Section 6: Miscellaneous Expense</t>
  </si>
  <si>
    <t>Section 5: Departmental Expense</t>
  </si>
  <si>
    <t>Section 4: Other Revenue</t>
  </si>
  <si>
    <t>Section 3: Food &amp; Beverage Other Income</t>
  </si>
  <si>
    <t>Section 2: Leased Space Revenue</t>
  </si>
  <si>
    <t>Section 1: Hotel Operated Shops</t>
  </si>
  <si>
    <r>
      <t xml:space="preserve">Please fill in all </t>
    </r>
    <r>
      <rPr>
        <b/>
        <sz val="12"/>
        <color rgb="FFFF0000"/>
        <rFont val="Calibri"/>
        <family val="2"/>
        <scheme val="minor"/>
      </rPr>
      <t>RED</t>
    </r>
    <r>
      <rPr>
        <b/>
        <sz val="12"/>
        <color theme="1"/>
        <rFont val="Calibri"/>
        <family val="2"/>
        <scheme val="minor"/>
      </rPr>
      <t xml:space="preserve"> cells on this worksheet.  If the category does not apply, please enter 0.  If it is a drop down question, please choose Yes or No.  If the answer is Yes, you need to fill out the section.</t>
    </r>
  </si>
  <si>
    <t>Start Date (mm/dd/yyyy)</t>
  </si>
  <si>
    <t>End Date (mm/dd/yyyy)</t>
  </si>
  <si>
    <t>Expected Life (Years)</t>
  </si>
  <si>
    <t>Description</t>
  </si>
  <si>
    <t>Amount</t>
  </si>
  <si>
    <t>B5</t>
  </si>
  <si>
    <t>B7</t>
  </si>
  <si>
    <t>B9</t>
  </si>
  <si>
    <t>CountBlank B13:B18</t>
  </si>
  <si>
    <t>CountBlank B26:B29</t>
  </si>
  <si>
    <t>CountBlank B35:B40</t>
  </si>
  <si>
    <t>CountBlank B44:B48</t>
  </si>
  <si>
    <t>CountBlank B54:B56</t>
  </si>
  <si>
    <t>All Blanks</t>
  </si>
  <si>
    <t>Total Report Blanks</t>
  </si>
  <si>
    <t>Total Overview Blanks</t>
  </si>
  <si>
    <t>*If applicable, please enter additional PIDs in the green boxes below</t>
  </si>
  <si>
    <t>This form was saved on:</t>
  </si>
  <si>
    <t>*Please provide management contract abstracts in a separate attachment with your Parcel ID.</t>
  </si>
  <si>
    <t>*Please provide detailed documentation in a separate attachment with your Parcel ID</t>
  </si>
  <si>
    <r>
      <rPr>
        <i/>
        <u/>
        <sz val="11"/>
        <color theme="1"/>
        <rFont val="Calibri"/>
        <family val="2"/>
        <scheme val="minor"/>
      </rPr>
      <t>By providing my name below</t>
    </r>
    <r>
      <rPr>
        <i/>
        <sz val="11"/>
        <color theme="1"/>
        <rFont val="Calibri"/>
        <family val="2"/>
        <scheme val="minor"/>
      </rPr>
      <t xml:space="preserve"> I hereby declare under oath that the information provided in this workbook and addenda are presented as being true, correct and complete to the best of my knowledge and belief and are submitted under the pains and penalties of perjury. </t>
    </r>
  </si>
  <si>
    <t>Notice Mailing Date: February 8, 2017</t>
  </si>
  <si>
    <r>
      <t>The following information is requested pursuant to Massachusetts General Law Chapter 59; Section 38D, as amended, in order to determine market income and expense standards and develop fair and equitable valuations.  Please submit all requested information within</t>
    </r>
    <r>
      <rPr>
        <sz val="11"/>
        <rFont val="Calibri"/>
        <family val="2"/>
        <scheme val="minor"/>
      </rPr>
      <t xml:space="preserve"> sixty (60) days of the notice mailing date, February 8, 2017.</t>
    </r>
  </si>
  <si>
    <t>Please save and submit your workbook online at https://www.boston.gov/38d-form-h along with any attachments listed below:</t>
  </si>
  <si>
    <r>
      <t xml:space="preserve">Completing this workbook provides the City of Boston with the most accurate information to assess your property. In this workbook, all </t>
    </r>
    <r>
      <rPr>
        <sz val="11"/>
        <color rgb="FFFF0000"/>
        <rFont val="Calibri"/>
        <family val="2"/>
        <scheme val="minor"/>
      </rPr>
      <t>Red Cells</t>
    </r>
    <r>
      <rPr>
        <sz val="11"/>
        <color theme="1"/>
        <rFont val="Calibri"/>
        <family val="2"/>
        <scheme val="minor"/>
      </rPr>
      <t xml:space="preserve"> must be filled in.  </t>
    </r>
    <r>
      <rPr>
        <sz val="11"/>
        <color theme="6" tint="-0.249977111117893"/>
        <rFont val="Calibri"/>
        <family val="2"/>
        <scheme val="minor"/>
      </rPr>
      <t>Green cells</t>
    </r>
    <r>
      <rPr>
        <sz val="11"/>
        <color theme="1"/>
        <rFont val="Calibri"/>
        <family val="2"/>
        <scheme val="minor"/>
      </rPr>
      <t xml:space="preserve"> need to be completed when applicable. </t>
    </r>
    <r>
      <rPr>
        <sz val="11"/>
        <color theme="3" tint="0.39997558519241921"/>
        <rFont val="Calibri"/>
        <family val="2"/>
        <scheme val="minor"/>
      </rPr>
      <t>Blue cells</t>
    </r>
    <r>
      <rPr>
        <sz val="11"/>
        <color theme="1"/>
        <rFont val="Calibri"/>
        <family val="2"/>
        <scheme val="minor"/>
      </rPr>
      <t xml:space="preserve"> will automatically calculate and are locked from editing. Please save your file as you go and label it with your Parcel ID_38DHotel (ex. 0123334445_38DHotel), save it somewhere that will be easy to find (such as your Desktop). Once all the required information is filled out in this worksheet, please use the button at the bottom of the page to verify your data to proceed to the Income Expense Report tab. Once you have completed the Income Expense Report tab, please verify the completion of the data with the button at the bottom of the page.  If you need to provide any comments, there is a comments section when you reach the end "SummarySheet".  Please submit completed forms along with any supporting data at https://www.boston.gov/38d-form-h. </t>
    </r>
  </si>
  <si>
    <t>Rent/SF on Jan. 1, 2016 (annual)</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</si>
</sst>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2" formatCode="_(&quot;$&quot;* #,##0_);_(&quot;$&quot;* \(#,##0\);_(&quot;$&quot;* &quot;-&quot;_);_(@_)"/>
    <numFmt numFmtId="44" formatCode="_(&quot;$&quot;* #,##0.00_);_(&quot;$&quot;* \(#,##0.00\);_(&quot;$&quot;* &quot;-&quot;??_);_(@_)"/>
    <numFmt numFmtId="164" formatCode="[&lt;=9999999]###\-####;\(###\)\ ###\-####"/>
    <numFmt numFmtId="165" formatCode="_(&quot;$&quot;* #,##0_);_(&quot;$&quot;* \(#,##0\);_(&quot;$&quot;* &quot;-&quot;??_);_(@_)"/>
    <numFmt numFmtId="166" formatCode="0.0%"/>
    <numFmt numFmtId="167" formatCode="0.0"/>
    <numFmt numFmtId="168" formatCode="[$-409]m/d/yy\ h:mm\ AM/PM;@"/>
  </numFmts>
  <fonts count="38">
    <font>
      <sz val="11"/>
      <color theme="1"/>
      <name val="Calibri"/>
      <family val="2"/>
      <scheme val="minor"/>
    </font>
    <font>
      <sz val="11"/>
      <color theme="1"/>
      <name val="Calibri"/>
      <family val="2"/>
      <scheme val="minor"/>
    </font>
    <font>
      <b/>
      <sz val="11"/>
      <color theme="1"/>
      <name val="Calibri"/>
      <family val="2"/>
      <scheme val="minor"/>
    </font>
    <font>
      <b/>
      <sz val="10"/>
      <color theme="1"/>
      <name val="Arial"/>
      <family val="2"/>
    </font>
    <font>
      <sz val="11"/>
      <color theme="0"/>
      <name val="Calibri"/>
      <family val="2"/>
      <scheme val="minor"/>
    </font>
    <font>
      <b/>
      <sz val="14"/>
      <color theme="1"/>
      <name val="Calibri"/>
      <family val="2"/>
      <scheme val="minor"/>
    </font>
    <font>
      <sz val="11"/>
      <color rgb="FF000000"/>
      <name val="Calibri"/>
      <family val="2"/>
      <scheme val="minor"/>
    </font>
    <font>
      <u/>
      <sz val="11"/>
      <color theme="10"/>
      <name val="Calibri"/>
      <family val="2"/>
      <scheme val="minor"/>
    </font>
    <font>
      <sz val="12"/>
      <name val="Arial MT"/>
    </font>
    <font>
      <sz val="10"/>
      <name val="Arial"/>
      <family val="2"/>
    </font>
    <font>
      <sz val="12"/>
      <name val="Courier"/>
      <family val="3"/>
    </font>
    <font>
      <sz val="11"/>
      <color rgb="FFFF0000"/>
      <name val="Calibri"/>
      <family val="2"/>
      <scheme val="minor"/>
    </font>
    <font>
      <sz val="11"/>
      <color theme="6" tint="-0.249977111117893"/>
      <name val="Calibri"/>
      <family val="2"/>
      <scheme val="minor"/>
    </font>
    <font>
      <sz val="11"/>
      <color theme="3" tint="0.39997558519241921"/>
      <name val="Calibri"/>
      <family val="2"/>
      <scheme val="minor"/>
    </font>
    <font>
      <b/>
      <sz val="12"/>
      <color theme="1"/>
      <name val="Calibri"/>
      <family val="2"/>
      <scheme val="minor"/>
    </font>
    <font>
      <sz val="12"/>
      <color theme="1"/>
      <name val="Calibri"/>
      <family val="2"/>
      <scheme val="minor"/>
    </font>
    <font>
      <b/>
      <sz val="12"/>
      <color theme="4"/>
      <name val="Calibri"/>
      <family val="2"/>
      <scheme val="minor"/>
    </font>
    <font>
      <sz val="12"/>
      <color theme="0"/>
      <name val="Calibri"/>
      <family val="2"/>
      <scheme val="minor"/>
    </font>
    <font>
      <b/>
      <sz val="12"/>
      <color theme="0"/>
      <name val="Calibri"/>
      <family val="2"/>
      <scheme val="minor"/>
    </font>
    <font>
      <sz val="10"/>
      <color theme="0"/>
      <name val="Arial Unicode MS"/>
      <family val="2"/>
    </font>
    <font>
      <sz val="11"/>
      <name val="Calibri"/>
      <family val="2"/>
      <scheme val="minor"/>
    </font>
    <font>
      <b/>
      <u/>
      <sz val="12"/>
      <color theme="0"/>
      <name val="Calibri"/>
      <family val="2"/>
      <scheme val="minor"/>
    </font>
    <font>
      <u/>
      <sz val="14"/>
      <color theme="10"/>
      <name val="Calibri"/>
      <family val="2"/>
      <scheme val="minor"/>
    </font>
    <font>
      <sz val="11"/>
      <color theme="4" tint="-0.249977111117893"/>
      <name val="Calibri"/>
      <family val="2"/>
      <scheme val="minor"/>
    </font>
    <font>
      <sz val="12"/>
      <color theme="4" tint="-0.249977111117893"/>
      <name val="Calibri"/>
      <family val="2"/>
      <scheme val="minor"/>
    </font>
    <font>
      <b/>
      <sz val="12"/>
      <color theme="4" tint="-0.249977111117893"/>
      <name val="Calibri"/>
      <family val="2"/>
      <scheme val="minor"/>
    </font>
    <font>
      <b/>
      <sz val="16"/>
      <color theme="4" tint="-0.249977111117893"/>
      <name val="Arial Black"/>
      <family val="2"/>
    </font>
    <font>
      <b/>
      <sz val="11"/>
      <color rgb="FF228B22"/>
      <name val="Arial"/>
      <family val="2"/>
    </font>
    <font>
      <b/>
      <sz val="11"/>
      <color rgb="FF000000"/>
      <name val="Calibri"/>
      <family val="2"/>
      <scheme val="minor"/>
    </font>
    <font>
      <b/>
      <sz val="12"/>
      <name val="Calibri"/>
      <family val="2"/>
      <scheme val="minor"/>
    </font>
    <font>
      <b/>
      <sz val="12"/>
      <color rgb="FFFF0000"/>
      <name val="Calibri"/>
      <family val="2"/>
      <scheme val="minor"/>
    </font>
    <font>
      <sz val="12"/>
      <name val="Calibri"/>
      <family val="2"/>
      <scheme val="minor"/>
    </font>
    <font>
      <sz val="12"/>
      <color theme="0" tint="-4.9989318521683403E-2"/>
      <name val="Calibri"/>
      <family val="2"/>
      <scheme val="minor"/>
    </font>
    <font>
      <b/>
      <sz val="12"/>
      <color theme="4" tint="-0.249977111117893"/>
      <name val="Arial Black"/>
      <family val="2"/>
    </font>
    <font>
      <u/>
      <sz val="11"/>
      <color theme="0"/>
      <name val="Calibri"/>
      <family val="2"/>
      <scheme val="minor"/>
    </font>
    <font>
      <i/>
      <sz val="11"/>
      <color theme="1"/>
      <name val="Calibri"/>
      <family val="2"/>
      <scheme val="minor"/>
    </font>
    <font>
      <i/>
      <u/>
      <sz val="11"/>
      <color theme="1"/>
      <name val="Calibri"/>
      <family val="2"/>
      <scheme val="minor"/>
    </font>
    <font>
      <sz val="9"/>
      <color rgb="FF006FE0"/>
      <name val="Courier New"/>
      <family val="3"/>
    </font>
  </fonts>
  <fills count="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s>
  <borders count="3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s>
  <cellStyleXfs count="8">
    <xf numFmtId="0" fontId="0" fillId="0" borderId="0"/>
    <xf numFmtId="44"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xf numFmtId="0" fontId="10" fillId="0" borderId="0"/>
    <xf numFmtId="0" fontId="9" fillId="0" borderId="0"/>
    <xf numFmtId="9" fontId="9" fillId="0" borderId="0" applyFont="0" applyFill="0" applyBorder="0" applyAlignment="0" applyProtection="0"/>
  </cellStyleXfs>
  <cellXfs count="218">
    <xf numFmtId="0" fontId="0" fillId="0" borderId="0" xfId="0"/>
    <xf numFmtId="0" fontId="0" fillId="0" borderId="0" xfId="0" applyFont="1"/>
    <xf numFmtId="0" fontId="0" fillId="2" borderId="1" xfId="0" applyFont="1" applyFill="1" applyBorder="1"/>
    <xf numFmtId="0" fontId="2" fillId="2" borderId="1" xfId="0" applyFont="1" applyFill="1" applyBorder="1" applyAlignment="1">
      <alignment vertical="center" wrapText="1"/>
    </xf>
    <xf numFmtId="49" fontId="2" fillId="2" borderId="1" xfId="0" applyNumberFormat="1" applyFont="1" applyFill="1" applyBorder="1" applyAlignment="1">
      <alignment vertical="center" wrapText="1"/>
    </xf>
    <xf numFmtId="1" fontId="2" fillId="2" borderId="1" xfId="0" applyNumberFormat="1" applyFont="1" applyFill="1" applyBorder="1" applyAlignment="1">
      <alignment horizontal="left" vertical="center" wrapText="1"/>
    </xf>
    <xf numFmtId="44" fontId="2" fillId="2" borderId="1" xfId="1" applyFont="1" applyFill="1" applyBorder="1" applyAlignment="1">
      <alignment vertical="center" wrapText="1"/>
    </xf>
    <xf numFmtId="1" fontId="2" fillId="2" borderId="1" xfId="0" applyNumberFormat="1" applyFont="1" applyFill="1" applyBorder="1" applyAlignment="1">
      <alignment vertical="center" wrapText="1"/>
    </xf>
    <xf numFmtId="0" fontId="0" fillId="4" borderId="0" xfId="0" applyFont="1" applyFill="1"/>
    <xf numFmtId="0" fontId="0" fillId="4" borderId="0" xfId="0" applyFont="1" applyFill="1" applyBorder="1"/>
    <xf numFmtId="0" fontId="0" fillId="4" borderId="0" xfId="0" applyFill="1"/>
    <xf numFmtId="0" fontId="4" fillId="4" borderId="0" xfId="0" applyFont="1" applyFill="1"/>
    <xf numFmtId="44" fontId="4" fillId="4" borderId="0" xfId="1" applyFont="1" applyFill="1" applyProtection="1">
      <protection hidden="1"/>
    </xf>
    <xf numFmtId="0" fontId="0" fillId="4" borderId="0" xfId="0" applyFont="1" applyFill="1" applyProtection="1">
      <protection hidden="1"/>
    </xf>
    <xf numFmtId="0" fontId="0" fillId="4" borderId="0" xfId="0" applyFill="1" applyAlignment="1">
      <alignment wrapText="1"/>
    </xf>
    <xf numFmtId="44" fontId="4" fillId="4" borderId="0" xfId="0" applyNumberFormat="1" applyFont="1" applyFill="1" applyAlignment="1" applyProtection="1">
      <alignment wrapText="1"/>
      <protection hidden="1"/>
    </xf>
    <xf numFmtId="0" fontId="0" fillId="4" borderId="0" xfId="0" applyFill="1" applyBorder="1"/>
    <xf numFmtId="14" fontId="2" fillId="2" borderId="1" xfId="0" applyNumberFormat="1" applyFont="1" applyFill="1" applyBorder="1" applyAlignment="1">
      <alignment vertical="center" wrapText="1"/>
    </xf>
    <xf numFmtId="49" fontId="0" fillId="0" borderId="1" xfId="0" applyNumberFormat="1" applyFont="1" applyFill="1" applyBorder="1" applyProtection="1">
      <protection locked="0"/>
    </xf>
    <xf numFmtId="0" fontId="0" fillId="0" borderId="1" xfId="0" applyFont="1" applyFill="1" applyBorder="1" applyProtection="1">
      <protection locked="0"/>
    </xf>
    <xf numFmtId="1" fontId="0" fillId="0" borderId="1" xfId="0" applyNumberFormat="1" applyFont="1" applyFill="1" applyBorder="1" applyAlignment="1" applyProtection="1">
      <alignment horizontal="left"/>
      <protection locked="0"/>
    </xf>
    <xf numFmtId="44" fontId="0" fillId="0" borderId="1" xfId="1" applyFont="1" applyFill="1" applyBorder="1" applyProtection="1">
      <protection locked="0"/>
    </xf>
    <xf numFmtId="1" fontId="0" fillId="0" borderId="1" xfId="0" applyNumberFormat="1" applyFont="1" applyFill="1" applyBorder="1" applyProtection="1">
      <protection locked="0"/>
    </xf>
    <xf numFmtId="0" fontId="0" fillId="4" borderId="0" xfId="0" applyFill="1" applyBorder="1" applyAlignment="1">
      <alignment vertical="center"/>
    </xf>
    <xf numFmtId="49" fontId="0" fillId="4" borderId="0" xfId="0" applyNumberFormat="1" applyFont="1" applyFill="1" applyBorder="1" applyAlignment="1" applyProtection="1">
      <alignment vertical="center"/>
      <protection locked="0"/>
    </xf>
    <xf numFmtId="14" fontId="0" fillId="4" borderId="0" xfId="0" applyNumberFormat="1" applyFont="1" applyFill="1" applyBorder="1" applyAlignment="1" applyProtection="1">
      <alignment horizontal="left"/>
      <protection locked="0"/>
    </xf>
    <xf numFmtId="49" fontId="0" fillId="4" borderId="1" xfId="0" applyNumberFormat="1" applyFill="1" applyBorder="1" applyProtection="1">
      <protection locked="0"/>
    </xf>
    <xf numFmtId="42" fontId="0" fillId="4" borderId="1" xfId="1" applyNumberFormat="1" applyFont="1" applyFill="1" applyBorder="1" applyProtection="1">
      <protection locked="0"/>
    </xf>
    <xf numFmtId="3" fontId="0" fillId="4" borderId="1" xfId="0" applyNumberFormat="1" applyFill="1" applyBorder="1" applyProtection="1">
      <protection locked="0"/>
    </xf>
    <xf numFmtId="0" fontId="0" fillId="5" borderId="1" xfId="0" applyFill="1" applyBorder="1"/>
    <xf numFmtId="0" fontId="3" fillId="5" borderId="1" xfId="0" applyFont="1" applyFill="1" applyBorder="1" applyAlignment="1">
      <alignment horizontal="center" vertical="center" wrapText="1"/>
    </xf>
    <xf numFmtId="49" fontId="0" fillId="4" borderId="9" xfId="0" applyNumberFormat="1" applyFill="1" applyBorder="1" applyProtection="1">
      <protection locked="0"/>
    </xf>
    <xf numFmtId="44" fontId="0" fillId="4" borderId="9" xfId="1" applyFont="1" applyFill="1" applyBorder="1" applyProtection="1">
      <protection locked="0"/>
    </xf>
    <xf numFmtId="0" fontId="0" fillId="5" borderId="9" xfId="0" applyFill="1" applyBorder="1" applyAlignment="1">
      <alignment wrapText="1"/>
    </xf>
    <xf numFmtId="0" fontId="3" fillId="5" borderId="9" xfId="0" applyFont="1" applyFill="1" applyBorder="1" applyAlignment="1">
      <alignment horizontal="center" vertical="center" wrapText="1"/>
    </xf>
    <xf numFmtId="0" fontId="3" fillId="5" borderId="10" xfId="0" applyFont="1" applyFill="1" applyBorder="1" applyAlignment="1">
      <alignment horizontal="center" vertical="center" wrapText="1"/>
    </xf>
    <xf numFmtId="49" fontId="0" fillId="4" borderId="0" xfId="0" applyNumberFormat="1" applyFont="1" applyFill="1"/>
    <xf numFmtId="0" fontId="15" fillId="4" borderId="0" xfId="0" applyFont="1" applyFill="1" applyAlignment="1">
      <alignment horizontal="left"/>
    </xf>
    <xf numFmtId="0" fontId="15" fillId="4" borderId="0" xfId="0" applyFont="1" applyFill="1" applyProtection="1">
      <protection hidden="1"/>
    </xf>
    <xf numFmtId="0" fontId="15" fillId="4" borderId="0" xfId="0" applyFont="1" applyFill="1"/>
    <xf numFmtId="0" fontId="15" fillId="5" borderId="2" xfId="0" applyFont="1" applyFill="1" applyBorder="1" applyAlignment="1">
      <alignment horizontal="right" vertical="center" wrapText="1"/>
    </xf>
    <xf numFmtId="0" fontId="15" fillId="4" borderId="0" xfId="0" applyFont="1" applyFill="1" applyBorder="1" applyAlignment="1">
      <alignment horizontal="left" vertical="center" wrapText="1"/>
    </xf>
    <xf numFmtId="0" fontId="15" fillId="5" borderId="7" xfId="0" applyFont="1" applyFill="1" applyBorder="1" applyAlignment="1">
      <alignment horizontal="right" vertical="center" wrapText="1"/>
    </xf>
    <xf numFmtId="0" fontId="14" fillId="5" borderId="4" xfId="0" applyFont="1" applyFill="1" applyBorder="1" applyAlignment="1">
      <alignment horizontal="right" vertical="center" wrapText="1"/>
    </xf>
    <xf numFmtId="0" fontId="15" fillId="4" borderId="0" xfId="0" applyFont="1" applyFill="1" applyAlignment="1">
      <alignment horizontal="left" vertical="center"/>
    </xf>
    <xf numFmtId="0" fontId="15" fillId="5" borderId="20" xfId="0" applyFont="1" applyFill="1" applyBorder="1" applyAlignment="1">
      <alignment horizontal="right" vertical="center" wrapText="1"/>
    </xf>
    <xf numFmtId="0" fontId="4" fillId="4" borderId="0" xfId="0" applyFont="1" applyFill="1" applyBorder="1" applyProtection="1">
      <protection hidden="1"/>
    </xf>
    <xf numFmtId="0" fontId="4" fillId="4" borderId="0" xfId="0" applyFont="1" applyFill="1" applyBorder="1" applyAlignment="1" applyProtection="1">
      <alignment horizontal="left" vertical="center"/>
      <protection hidden="1"/>
    </xf>
    <xf numFmtId="0" fontId="19" fillId="4" borderId="0" xfId="0" applyFont="1" applyFill="1" applyBorder="1" applyAlignment="1" applyProtection="1">
      <alignment vertical="center"/>
      <protection hidden="1"/>
    </xf>
    <xf numFmtId="164" fontId="0" fillId="4" borderId="0" xfId="0" applyNumberFormat="1" applyFont="1" applyFill="1" applyBorder="1" applyAlignment="1" applyProtection="1">
      <alignment horizontal="left" vertical="center"/>
      <protection locked="0"/>
    </xf>
    <xf numFmtId="0" fontId="11" fillId="4" borderId="0" xfId="0" applyFont="1" applyFill="1" applyAlignment="1">
      <alignment vertical="center"/>
    </xf>
    <xf numFmtId="0" fontId="0" fillId="4" borderId="12" xfId="0" applyFill="1" applyBorder="1" applyAlignment="1">
      <alignment vertical="center"/>
    </xf>
    <xf numFmtId="0" fontId="14" fillId="4" borderId="0" xfId="0" applyFont="1" applyFill="1" applyBorder="1" applyAlignment="1">
      <alignment horizontal="right" vertical="center"/>
    </xf>
    <xf numFmtId="44" fontId="15" fillId="4" borderId="0" xfId="1" applyFont="1" applyFill="1" applyBorder="1" applyAlignment="1" applyProtection="1">
      <alignment horizontal="right" vertical="center"/>
      <protection locked="0"/>
    </xf>
    <xf numFmtId="44" fontId="15" fillId="4" borderId="0" xfId="1" applyFont="1" applyFill="1" applyBorder="1" applyAlignment="1">
      <alignment horizontal="right" vertical="center"/>
    </xf>
    <xf numFmtId="0" fontId="17" fillId="4" borderId="0" xfId="0" applyFont="1" applyFill="1" applyBorder="1" applyAlignment="1">
      <alignment horizontal="right" vertical="center" wrapText="1"/>
    </xf>
    <xf numFmtId="44" fontId="17" fillId="4" borderId="0" xfId="1" applyFont="1" applyFill="1" applyBorder="1" applyAlignment="1" applyProtection="1">
      <alignment horizontal="right" vertical="center"/>
      <protection locked="0"/>
    </xf>
    <xf numFmtId="44" fontId="17" fillId="4" borderId="0" xfId="1" applyFont="1" applyFill="1" applyBorder="1" applyAlignment="1">
      <alignment horizontal="right" vertical="center"/>
    </xf>
    <xf numFmtId="0" fontId="18" fillId="4" borderId="0" xfId="0" applyFont="1" applyFill="1" applyBorder="1" applyAlignment="1">
      <alignment horizontal="right" vertical="center"/>
    </xf>
    <xf numFmtId="44" fontId="15" fillId="4" borderId="0" xfId="1" applyFont="1" applyFill="1" applyBorder="1" applyAlignment="1" applyProtection="1">
      <alignment horizontal="right" vertical="center"/>
    </xf>
    <xf numFmtId="0" fontId="15" fillId="4" borderId="0" xfId="0" applyFont="1" applyFill="1" applyAlignment="1">
      <alignment horizontal="right" vertical="center"/>
    </xf>
    <xf numFmtId="0" fontId="15" fillId="4" borderId="0" xfId="0" applyFont="1" applyFill="1" applyAlignment="1">
      <alignment vertical="center"/>
    </xf>
    <xf numFmtId="0" fontId="15" fillId="4" borderId="0" xfId="0" applyFont="1" applyFill="1" applyAlignment="1" applyProtection="1">
      <alignment vertical="center"/>
      <protection hidden="1"/>
    </xf>
    <xf numFmtId="0" fontId="15" fillId="5" borderId="15" xfId="0" applyFont="1" applyFill="1" applyBorder="1" applyAlignment="1">
      <alignment horizontal="right" vertical="center"/>
    </xf>
    <xf numFmtId="0" fontId="15" fillId="5" borderId="2" xfId="0" applyFont="1" applyFill="1" applyBorder="1" applyAlignment="1">
      <alignment horizontal="right" vertical="center"/>
    </xf>
    <xf numFmtId="1" fontId="15" fillId="5" borderId="3" xfId="0" applyNumberFormat="1" applyFont="1" applyFill="1" applyBorder="1" applyAlignment="1" applyProtection="1">
      <alignment vertical="center"/>
      <protection locked="0"/>
    </xf>
    <xf numFmtId="0" fontId="15" fillId="5" borderId="4" xfId="0" applyFont="1" applyFill="1" applyBorder="1" applyAlignment="1">
      <alignment horizontal="right" vertical="center"/>
    </xf>
    <xf numFmtId="0" fontId="15" fillId="5" borderId="6" xfId="0" applyFont="1" applyFill="1" applyBorder="1" applyAlignment="1">
      <alignment horizontal="right" vertical="center"/>
    </xf>
    <xf numFmtId="0" fontId="15" fillId="5" borderId="15" xfId="0" applyFont="1" applyFill="1" applyBorder="1" applyAlignment="1">
      <alignment vertical="center"/>
    </xf>
    <xf numFmtId="44" fontId="14" fillId="5" borderId="16" xfId="1" applyFont="1" applyFill="1" applyBorder="1" applyAlignment="1">
      <alignment horizontal="center" vertical="center"/>
    </xf>
    <xf numFmtId="0" fontId="17" fillId="4" borderId="0" xfId="0" applyFont="1" applyFill="1" applyAlignment="1" applyProtection="1">
      <alignment vertical="center"/>
      <protection hidden="1"/>
    </xf>
    <xf numFmtId="0" fontId="15" fillId="4" borderId="0" xfId="0" applyFont="1" applyFill="1" applyAlignment="1" applyProtection="1">
      <alignment vertical="center"/>
      <protection locked="0"/>
    </xf>
    <xf numFmtId="0" fontId="14" fillId="5" borderId="4" xfId="0" applyFont="1" applyFill="1" applyBorder="1" applyAlignment="1">
      <alignment horizontal="right" vertical="center"/>
    </xf>
    <xf numFmtId="44" fontId="14" fillId="5" borderId="21" xfId="1" applyFont="1" applyFill="1" applyBorder="1" applyAlignment="1">
      <alignment horizontal="center" vertical="center"/>
    </xf>
    <xf numFmtId="1" fontId="17" fillId="4" borderId="0" xfId="1" applyNumberFormat="1" applyFont="1" applyFill="1" applyBorder="1" applyAlignment="1" applyProtection="1">
      <alignment vertical="center"/>
      <protection locked="0"/>
    </xf>
    <xf numFmtId="0" fontId="4" fillId="4" borderId="0" xfId="0" applyFont="1" applyFill="1" applyAlignment="1">
      <alignment wrapText="1"/>
    </xf>
    <xf numFmtId="14" fontId="0" fillId="4" borderId="0" xfId="0" applyNumberFormat="1" applyFill="1" applyBorder="1"/>
    <xf numFmtId="0" fontId="17" fillId="4" borderId="0" xfId="0" applyFont="1" applyFill="1" applyProtection="1">
      <protection hidden="1"/>
    </xf>
    <xf numFmtId="49" fontId="20" fillId="4" borderId="9" xfId="0" applyNumberFormat="1" applyFont="1" applyFill="1" applyBorder="1" applyProtection="1">
      <protection locked="0"/>
    </xf>
    <xf numFmtId="44" fontId="20" fillId="4" borderId="9" xfId="1" applyFont="1" applyFill="1" applyBorder="1" applyProtection="1">
      <protection locked="0"/>
    </xf>
    <xf numFmtId="0" fontId="0" fillId="4" borderId="25" xfId="0" applyFill="1" applyBorder="1" applyAlignment="1">
      <alignment vertical="center"/>
    </xf>
    <xf numFmtId="0" fontId="0" fillId="4" borderId="27" xfId="0" applyFill="1" applyBorder="1" applyAlignment="1">
      <alignment vertical="center"/>
    </xf>
    <xf numFmtId="0" fontId="0" fillId="4" borderId="25" xfId="0" applyFill="1" applyBorder="1"/>
    <xf numFmtId="0" fontId="11" fillId="4" borderId="30" xfId="0" applyFont="1" applyFill="1" applyBorder="1" applyAlignment="1">
      <alignment vertical="center"/>
    </xf>
    <xf numFmtId="0" fontId="11" fillId="4" borderId="31" xfId="0" applyFont="1" applyFill="1" applyBorder="1" applyAlignment="1">
      <alignment vertical="center"/>
    </xf>
    <xf numFmtId="0" fontId="11" fillId="4" borderId="32" xfId="0" applyFont="1" applyFill="1" applyBorder="1" applyAlignment="1">
      <alignment vertical="center"/>
    </xf>
    <xf numFmtId="49" fontId="6" fillId="0" borderId="0" xfId="0" applyNumberFormat="1" applyFont="1" applyBorder="1" applyAlignment="1" applyProtection="1">
      <alignment vertical="center"/>
      <protection locked="0"/>
    </xf>
    <xf numFmtId="49" fontId="0" fillId="0" borderId="0" xfId="0" applyNumberFormat="1" applyBorder="1" applyAlignment="1" applyProtection="1">
      <alignment vertical="center"/>
      <protection locked="0"/>
    </xf>
    <xf numFmtId="49" fontId="7" fillId="4" borderId="12" xfId="3" applyNumberFormat="1" applyFill="1" applyBorder="1" applyAlignment="1" applyProtection="1">
      <alignment vertical="center"/>
      <protection locked="0"/>
    </xf>
    <xf numFmtId="14" fontId="0" fillId="0" borderId="1" xfId="0" applyNumberFormat="1" applyFont="1" applyFill="1" applyBorder="1" applyAlignment="1" applyProtection="1">
      <alignment vertical="center" wrapText="1"/>
      <protection locked="0"/>
    </xf>
    <xf numFmtId="49" fontId="0" fillId="6" borderId="0" xfId="0" applyNumberFormat="1" applyFill="1" applyBorder="1" applyAlignment="1" applyProtection="1">
      <alignment vertical="center"/>
    </xf>
    <xf numFmtId="0" fontId="0" fillId="5" borderId="6" xfId="0" applyFont="1" applyFill="1" applyBorder="1" applyAlignment="1">
      <alignment horizontal="right"/>
    </xf>
    <xf numFmtId="0" fontId="0" fillId="5" borderId="6" xfId="0" applyFont="1" applyFill="1" applyBorder="1" applyAlignment="1">
      <alignment horizontal="right" vertical="center"/>
    </xf>
    <xf numFmtId="0" fontId="0" fillId="5" borderId="26" xfId="0" applyFont="1" applyFill="1" applyBorder="1" applyAlignment="1">
      <alignment horizontal="right" vertical="center"/>
    </xf>
    <xf numFmtId="0" fontId="0" fillId="5" borderId="0" xfId="0" applyFont="1" applyFill="1" applyBorder="1" applyAlignment="1">
      <alignment horizontal="right"/>
    </xf>
    <xf numFmtId="44" fontId="15" fillId="5" borderId="0" xfId="1" applyFont="1" applyFill="1" applyBorder="1" applyAlignment="1">
      <alignment horizontal="right" vertical="center" wrapText="1"/>
    </xf>
    <xf numFmtId="44" fontId="15" fillId="5" borderId="0" xfId="1" applyFont="1" applyFill="1" applyBorder="1" applyAlignment="1">
      <alignment horizontal="right"/>
    </xf>
    <xf numFmtId="44" fontId="15" fillId="5" borderId="0" xfId="1" applyFont="1" applyFill="1" applyBorder="1" applyAlignment="1">
      <alignment horizontal="right" vertical="center"/>
    </xf>
    <xf numFmtId="165" fontId="15" fillId="5" borderId="3" xfId="1" applyNumberFormat="1" applyFont="1" applyFill="1" applyBorder="1" applyAlignment="1" applyProtection="1">
      <alignment vertical="center"/>
      <protection locked="0"/>
    </xf>
    <xf numFmtId="165" fontId="15" fillId="5" borderId="11" xfId="1" applyNumberFormat="1" applyFont="1" applyFill="1" applyBorder="1" applyAlignment="1" applyProtection="1">
      <alignment vertical="center"/>
      <protection locked="0"/>
    </xf>
    <xf numFmtId="0" fontId="14" fillId="4" borderId="0" xfId="0" applyFont="1" applyFill="1" applyAlignment="1">
      <alignment horizontal="right" vertical="center"/>
    </xf>
    <xf numFmtId="0" fontId="18" fillId="4" borderId="0" xfId="0" applyFont="1" applyFill="1" applyAlignment="1">
      <alignment horizontal="right" vertical="center"/>
    </xf>
    <xf numFmtId="0" fontId="21" fillId="4" borderId="0" xfId="3" applyFont="1" applyFill="1" applyBorder="1" applyAlignment="1">
      <alignment horizontal="right" vertical="center" wrapText="1"/>
    </xf>
    <xf numFmtId="0" fontId="14" fillId="4" borderId="0" xfId="0" applyFont="1" applyFill="1" applyAlignment="1">
      <alignment horizontal="right"/>
    </xf>
    <xf numFmtId="0" fontId="25" fillId="5" borderId="0" xfId="0" applyFont="1" applyFill="1" applyBorder="1" applyAlignment="1" applyProtection="1">
      <alignment vertical="center"/>
      <protection hidden="1"/>
    </xf>
    <xf numFmtId="0" fontId="24" fillId="5" borderId="0" xfId="0" applyFont="1" applyFill="1" applyAlignment="1" applyProtection="1">
      <alignment vertical="center"/>
      <protection hidden="1"/>
    </xf>
    <xf numFmtId="165" fontId="15" fillId="6" borderId="3" xfId="1" applyNumberFormat="1" applyFont="1" applyFill="1" applyBorder="1" applyAlignment="1" applyProtection="1">
      <alignment vertical="center"/>
      <protection hidden="1"/>
    </xf>
    <xf numFmtId="165" fontId="15" fillId="6" borderId="8" xfId="1" applyNumberFormat="1" applyFont="1" applyFill="1" applyBorder="1" applyAlignment="1" applyProtection="1">
      <alignment vertical="center"/>
      <protection hidden="1"/>
    </xf>
    <xf numFmtId="165" fontId="15" fillId="6" borderId="5" xfId="1" applyNumberFormat="1" applyFont="1" applyFill="1" applyBorder="1" applyAlignment="1" applyProtection="1">
      <alignment vertical="center"/>
      <protection hidden="1"/>
    </xf>
    <xf numFmtId="165" fontId="15" fillId="6" borderId="19" xfId="1" applyNumberFormat="1" applyFont="1" applyFill="1" applyBorder="1" applyAlignment="1" applyProtection="1">
      <alignment vertical="center"/>
      <protection hidden="1"/>
    </xf>
    <xf numFmtId="0" fontId="0" fillId="4" borderId="0" xfId="0" applyFill="1" applyAlignment="1">
      <alignment vertical="center"/>
    </xf>
    <xf numFmtId="0" fontId="0" fillId="4" borderId="0" xfId="0" applyFill="1" applyAlignme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15" fillId="5" borderId="7" xfId="0" applyFont="1" applyFill="1" applyBorder="1" applyAlignment="1">
      <alignment horizontal="right" vertical="center"/>
    </xf>
    <xf numFmtId="44" fontId="15" fillId="5" borderId="5" xfId="1" applyNumberFormat="1" applyFont="1" applyFill="1" applyBorder="1" applyAlignment="1" applyProtection="1">
      <alignment vertical="center"/>
      <protection locked="0"/>
    </xf>
    <xf numFmtId="44" fontId="15" fillId="6" borderId="3" xfId="1" applyNumberFormat="1" applyFont="1" applyFill="1" applyBorder="1" applyAlignment="1" applyProtection="1">
      <alignment vertical="center"/>
      <protection hidden="1"/>
    </xf>
    <xf numFmtId="0" fontId="15" fillId="6" borderId="16" xfId="1" applyNumberFormat="1" applyFont="1" applyFill="1" applyBorder="1" applyAlignment="1" applyProtection="1">
      <alignment horizontal="right" vertical="center"/>
      <protection hidden="1"/>
    </xf>
    <xf numFmtId="166" fontId="15" fillId="5" borderId="3" xfId="2" applyNumberFormat="1" applyFont="1" applyFill="1" applyBorder="1" applyAlignment="1" applyProtection="1">
      <alignment vertical="center"/>
      <protection locked="0"/>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7" fillId="0" borderId="0" xfId="0" applyFont="1"/>
    <xf numFmtId="0" fontId="23" fillId="4" borderId="0" xfId="0" applyFont="1" applyFill="1" applyAlignment="1" applyProtection="1">
      <alignment vertical="center"/>
      <protection hidden="1"/>
    </xf>
    <xf numFmtId="0" fontId="23" fillId="4" borderId="0" xfId="0" applyFont="1" applyFill="1" applyBorder="1" applyAlignment="1" applyProtection="1">
      <alignment vertical="center"/>
      <protection hidden="1"/>
    </xf>
    <xf numFmtId="0" fontId="25" fillId="4" borderId="0" xfId="0" applyFont="1" applyFill="1" applyBorder="1" applyAlignment="1" applyProtection="1">
      <alignment vertical="center"/>
      <protection hidden="1"/>
    </xf>
    <xf numFmtId="0" fontId="24" fillId="4" borderId="0" xfId="0" applyFont="1" applyFill="1" applyAlignment="1" applyProtection="1">
      <alignment vertical="center"/>
      <protection hidden="1"/>
    </xf>
    <xf numFmtId="0" fontId="29" fillId="4" borderId="0" xfId="0" applyFont="1" applyFill="1" applyAlignment="1" applyProtection="1">
      <alignment horizontal="center" vertical="center" wrapText="1"/>
      <protection hidden="1"/>
    </xf>
    <xf numFmtId="14" fontId="0" fillId="4" borderId="10" xfId="0" applyNumberFormat="1" applyFill="1" applyBorder="1" applyProtection="1">
      <protection locked="0"/>
    </xf>
    <xf numFmtId="0" fontId="2" fillId="2" borderId="1" xfId="0" applyFont="1" applyFill="1" applyBorder="1" applyAlignment="1">
      <alignment vertical="center"/>
    </xf>
    <xf numFmtId="0" fontId="0" fillId="4" borderId="0" xfId="0" applyFont="1" applyFill="1" applyAlignment="1" applyProtection="1">
      <alignment vertical="center"/>
      <protection hidden="1"/>
    </xf>
    <xf numFmtId="0" fontId="0" fillId="4" borderId="0" xfId="0" applyFont="1" applyFill="1" applyAlignment="1">
      <alignment vertical="center"/>
    </xf>
    <xf numFmtId="0" fontId="0" fillId="0" borderId="0" xfId="0" applyFont="1" applyAlignment="1">
      <alignment vertical="center"/>
    </xf>
    <xf numFmtId="0" fontId="31" fillId="4" borderId="0" xfId="0" applyFont="1" applyFill="1"/>
    <xf numFmtId="0" fontId="31" fillId="4" borderId="0" xfId="0" applyFont="1" applyFill="1" applyAlignment="1">
      <alignment horizontal="right" vertical="center"/>
    </xf>
    <xf numFmtId="0" fontId="31" fillId="4" borderId="0" xfId="0" applyFont="1" applyFill="1" applyAlignment="1">
      <alignment horizontal="left"/>
    </xf>
    <xf numFmtId="0" fontId="29" fillId="4" borderId="0" xfId="0" applyFont="1" applyFill="1" applyAlignment="1">
      <alignment horizontal="right"/>
    </xf>
    <xf numFmtId="0" fontId="31" fillId="4" borderId="0" xfId="0" applyFont="1" applyFill="1" applyProtection="1">
      <protection hidden="1"/>
    </xf>
    <xf numFmtId="0" fontId="4" fillId="4" borderId="0" xfId="0" applyFont="1" applyFill="1" applyAlignment="1">
      <alignment vertical="center"/>
    </xf>
    <xf numFmtId="0" fontId="4" fillId="4" borderId="0" xfId="0" applyFont="1" applyFill="1" applyBorder="1" applyAlignment="1" applyProtection="1">
      <alignment horizontal="left"/>
      <protection hidden="1"/>
    </xf>
    <xf numFmtId="0" fontId="4" fillId="4" borderId="0" xfId="0" applyFont="1" applyFill="1" applyProtection="1">
      <protection hidden="1"/>
    </xf>
    <xf numFmtId="49" fontId="7" fillId="4" borderId="0" xfId="3" applyNumberFormat="1" applyFill="1" applyBorder="1" applyAlignment="1" applyProtection="1">
      <alignment vertical="center"/>
      <protection locked="0"/>
    </xf>
    <xf numFmtId="0" fontId="17" fillId="4" borderId="0" xfId="0" applyFont="1" applyFill="1" applyAlignment="1" applyProtection="1">
      <alignment horizontal="right" vertical="center"/>
      <protection hidden="1"/>
    </xf>
    <xf numFmtId="0" fontId="26" fillId="4" borderId="0" xfId="0" applyFont="1" applyFill="1" applyBorder="1" applyAlignment="1" applyProtection="1">
      <alignment horizontal="center" vertical="center"/>
      <protection hidden="1"/>
    </xf>
    <xf numFmtId="14" fontId="26" fillId="4" borderId="0" xfId="0" applyNumberFormat="1" applyFont="1" applyFill="1" applyBorder="1" applyAlignment="1" applyProtection="1">
      <alignment horizontal="center" vertical="center"/>
      <protection hidden="1"/>
    </xf>
    <xf numFmtId="0" fontId="25" fillId="5" borderId="35" xfId="0" applyFont="1" applyFill="1" applyBorder="1" applyAlignment="1" applyProtection="1">
      <alignment horizontal="left" vertical="center"/>
      <protection locked="0"/>
    </xf>
    <xf numFmtId="0" fontId="25" fillId="4" borderId="0" xfId="0" applyFont="1" applyFill="1" applyBorder="1" applyAlignment="1" applyProtection="1">
      <alignment horizontal="left" vertical="center"/>
      <protection locked="0"/>
    </xf>
    <xf numFmtId="0" fontId="25" fillId="5" borderId="0" xfId="0" applyFont="1" applyFill="1" applyBorder="1" applyAlignment="1" applyProtection="1">
      <alignment horizontal="left" vertical="center"/>
      <protection hidden="1"/>
    </xf>
    <xf numFmtId="0" fontId="25" fillId="4" borderId="0" xfId="0" applyFont="1" applyFill="1" applyBorder="1" applyAlignment="1" applyProtection="1">
      <alignment horizontal="left" vertical="center"/>
      <protection hidden="1"/>
    </xf>
    <xf numFmtId="0" fontId="24" fillId="4" borderId="0" xfId="0" applyFont="1" applyFill="1" applyBorder="1" applyAlignment="1" applyProtection="1">
      <alignment vertical="center"/>
      <protection hidden="1"/>
    </xf>
    <xf numFmtId="0" fontId="25" fillId="5" borderId="0" xfId="0" applyFont="1" applyFill="1" applyBorder="1" applyAlignment="1" applyProtection="1">
      <alignment horizontal="center" vertical="center" wrapText="1"/>
      <protection hidden="1"/>
    </xf>
    <xf numFmtId="0" fontId="32" fillId="4" borderId="0" xfId="0" applyFont="1" applyFill="1" applyBorder="1" applyAlignment="1" applyProtection="1">
      <alignment vertical="center"/>
      <protection hidden="1"/>
    </xf>
    <xf numFmtId="167" fontId="0" fillId="4" borderId="10" xfId="0" applyNumberFormat="1" applyFill="1" applyBorder="1" applyProtection="1">
      <protection locked="0"/>
    </xf>
    <xf numFmtId="0" fontId="34" fillId="4" borderId="0" xfId="3" applyFont="1" applyFill="1" applyBorder="1" applyAlignment="1" applyProtection="1">
      <alignment horizontal="right" vertical="center" wrapText="1"/>
      <protection locked="0"/>
    </xf>
    <xf numFmtId="0" fontId="34" fillId="0" borderId="0" xfId="3" applyFont="1" applyAlignment="1" applyProtection="1">
      <alignment horizontal="right"/>
      <protection locked="0"/>
    </xf>
    <xf numFmtId="1" fontId="15" fillId="6" borderId="3" xfId="1" applyNumberFormat="1" applyFont="1" applyFill="1" applyBorder="1" applyAlignment="1" applyProtection="1">
      <alignment vertical="center"/>
      <protection hidden="1"/>
    </xf>
    <xf numFmtId="0" fontId="14" fillId="4" borderId="0" xfId="0" applyFont="1" applyFill="1" applyBorder="1" applyAlignment="1" applyProtection="1">
      <alignment horizontal="right" vertical="center"/>
      <protection hidden="1"/>
    </xf>
    <xf numFmtId="0" fontId="15" fillId="4" borderId="0" xfId="0" applyFont="1" applyFill="1" applyAlignment="1" applyProtection="1">
      <alignment horizontal="left" vertical="center"/>
      <protection hidden="1"/>
    </xf>
    <xf numFmtId="0" fontId="14" fillId="4" borderId="0" xfId="0" applyFont="1" applyFill="1" applyAlignment="1" applyProtection="1">
      <alignment horizontal="right" vertical="center"/>
      <protection hidden="1"/>
    </xf>
    <xf numFmtId="0" fontId="15" fillId="4" borderId="0" xfId="1" applyNumberFormat="1" applyFont="1" applyFill="1" applyBorder="1" applyAlignment="1" applyProtection="1">
      <alignment horizontal="right" vertical="center"/>
      <protection hidden="1"/>
    </xf>
    <xf numFmtId="0" fontId="16" fillId="4" borderId="0" xfId="0" applyFont="1" applyFill="1" applyBorder="1" applyAlignment="1" applyProtection="1">
      <alignment horizontal="center" vertical="center" wrapText="1"/>
      <protection hidden="1"/>
    </xf>
    <xf numFmtId="0" fontId="16" fillId="4" borderId="0" xfId="0" applyFont="1" applyFill="1" applyBorder="1" applyAlignment="1" applyProtection="1">
      <alignment horizontal="right" vertical="center" wrapText="1"/>
      <protection hidden="1"/>
    </xf>
    <xf numFmtId="1" fontId="15" fillId="4" borderId="0" xfId="0" applyNumberFormat="1" applyFont="1" applyFill="1" applyBorder="1" applyAlignment="1" applyProtection="1">
      <alignment horizontal="right" vertical="center"/>
      <protection hidden="1"/>
    </xf>
    <xf numFmtId="9" fontId="15" fillId="4" borderId="0" xfId="2" applyFont="1" applyFill="1" applyBorder="1" applyAlignment="1" applyProtection="1">
      <alignment horizontal="right" vertical="center"/>
      <protection hidden="1"/>
    </xf>
    <xf numFmtId="44" fontId="15" fillId="4" borderId="0" xfId="1" applyFont="1" applyFill="1" applyBorder="1" applyAlignment="1" applyProtection="1">
      <alignment horizontal="right" vertical="center"/>
      <protection hidden="1"/>
    </xf>
    <xf numFmtId="0" fontId="15" fillId="4" borderId="0" xfId="0" applyFont="1" applyFill="1" applyBorder="1" applyAlignment="1" applyProtection="1">
      <alignment horizontal="left" vertical="center"/>
      <protection hidden="1"/>
    </xf>
    <xf numFmtId="0" fontId="15" fillId="4" borderId="0" xfId="0" applyFont="1" applyFill="1" applyBorder="1" applyAlignment="1" applyProtection="1">
      <alignment horizontal="left" vertical="center" wrapText="1"/>
      <protection hidden="1"/>
    </xf>
    <xf numFmtId="0" fontId="2" fillId="5" borderId="6" xfId="0" applyFont="1" applyFill="1" applyBorder="1" applyAlignment="1">
      <alignment horizontal="right"/>
    </xf>
    <xf numFmtId="0" fontId="24" fillId="5" borderId="0" xfId="0" applyFont="1" applyFill="1" applyAlignment="1" applyProtection="1">
      <protection hidden="1"/>
    </xf>
    <xf numFmtId="0" fontId="30" fillId="5" borderId="0" xfId="0" applyFont="1" applyFill="1" applyBorder="1" applyAlignment="1" applyProtection="1">
      <alignment horizontal="left" wrapText="1"/>
      <protection hidden="1"/>
    </xf>
    <xf numFmtId="0" fontId="30" fillId="4" borderId="0" xfId="0" applyFont="1" applyFill="1" applyBorder="1" applyAlignment="1" applyProtection="1">
      <alignment horizontal="left"/>
      <protection hidden="1"/>
    </xf>
    <xf numFmtId="0" fontId="24" fillId="4" borderId="0" xfId="0" applyFont="1" applyFill="1" applyBorder="1" applyAlignment="1" applyProtection="1">
      <protection hidden="1"/>
    </xf>
    <xf numFmtId="0" fontId="24" fillId="4" borderId="0" xfId="0" applyFont="1" applyFill="1" applyAlignment="1" applyProtection="1">
      <protection hidden="1"/>
    </xf>
    <xf numFmtId="0" fontId="37" fillId="0" borderId="0" xfId="0" applyFont="1"/>
    <xf numFmtId="0" fontId="2" fillId="4" borderId="0" xfId="0" applyFont="1" applyFill="1" applyBorder="1" applyAlignment="1">
      <alignment horizontal="right" vertical="center"/>
    </xf>
    <xf numFmtId="0" fontId="2" fillId="4" borderId="0" xfId="0" applyFont="1" applyFill="1" applyBorder="1" applyAlignment="1">
      <alignment horizontal="center" vertical="center" wrapText="1"/>
    </xf>
    <xf numFmtId="0" fontId="2" fillId="4" borderId="0" xfId="0" applyFont="1" applyFill="1" applyBorder="1" applyAlignment="1">
      <alignment horizontal="center" vertical="center"/>
    </xf>
    <xf numFmtId="0" fontId="2" fillId="4" borderId="0" xfId="0" applyFont="1" applyFill="1" applyBorder="1" applyAlignment="1">
      <alignment horizontal="right" vertical="center"/>
    </xf>
    <xf numFmtId="0" fontId="4" fillId="4" borderId="0" xfId="0" applyFont="1" applyFill="1" applyBorder="1" applyAlignment="1">
      <alignment horizontal="center" vertical="center"/>
    </xf>
    <xf numFmtId="0" fontId="0" fillId="5" borderId="33" xfId="0" applyFill="1" applyBorder="1" applyAlignment="1">
      <alignment horizontal="center" vertical="center"/>
    </xf>
    <xf numFmtId="0" fontId="0" fillId="5" borderId="34" xfId="0" applyFill="1" applyBorder="1" applyAlignment="1">
      <alignment horizontal="center" vertical="center"/>
    </xf>
    <xf numFmtId="0" fontId="14" fillId="3" borderId="28" xfId="0" applyFont="1" applyFill="1" applyBorder="1" applyAlignment="1">
      <alignment horizontal="center" vertical="center"/>
    </xf>
    <xf numFmtId="0" fontId="14" fillId="3" borderId="13" xfId="0" applyFont="1" applyFill="1" applyBorder="1" applyAlignment="1">
      <alignment horizontal="center" vertical="center"/>
    </xf>
    <xf numFmtId="0" fontId="14" fillId="3" borderId="29" xfId="0" applyFont="1" applyFill="1" applyBorder="1" applyAlignment="1">
      <alignment horizontal="center" vertical="center"/>
    </xf>
    <xf numFmtId="0" fontId="14" fillId="4" borderId="0" xfId="0" applyFont="1" applyFill="1" applyBorder="1" applyAlignment="1">
      <alignment vertical="center"/>
    </xf>
    <xf numFmtId="0" fontId="6" fillId="4" borderId="0" xfId="0" applyFont="1" applyFill="1" applyBorder="1" applyAlignment="1">
      <alignment horizontal="left" vertical="center" wrapText="1"/>
    </xf>
    <xf numFmtId="0" fontId="14" fillId="3" borderId="22" xfId="0" applyFont="1" applyFill="1" applyBorder="1" applyAlignment="1">
      <alignment horizontal="left" vertical="center" wrapText="1"/>
    </xf>
    <xf numFmtId="0" fontId="14" fillId="3" borderId="23" xfId="0" applyFont="1" applyFill="1" applyBorder="1" applyAlignment="1">
      <alignment horizontal="left" vertical="center" wrapText="1"/>
    </xf>
    <xf numFmtId="0" fontId="14" fillId="3" borderId="24" xfId="0" applyFont="1" applyFill="1" applyBorder="1" applyAlignment="1">
      <alignment horizontal="left" vertical="center" wrapText="1"/>
    </xf>
    <xf numFmtId="0" fontId="35" fillId="4" borderId="6" xfId="0" applyFont="1" applyFill="1" applyBorder="1" applyAlignment="1">
      <alignment vertical="center" wrapText="1"/>
    </xf>
    <xf numFmtId="0" fontId="35" fillId="4" borderId="0" xfId="0" applyFont="1" applyFill="1" applyBorder="1" applyAlignment="1">
      <alignment vertical="center" wrapText="1"/>
    </xf>
    <xf numFmtId="0" fontId="35" fillId="4" borderId="25" xfId="0" applyFont="1" applyFill="1" applyBorder="1" applyAlignment="1">
      <alignment vertical="center" wrapText="1"/>
    </xf>
    <xf numFmtId="0" fontId="20" fillId="4" borderId="0" xfId="0" applyFont="1" applyFill="1" applyBorder="1" applyAlignment="1">
      <alignment horizontal="left" vertical="center" wrapText="1"/>
    </xf>
    <xf numFmtId="0" fontId="0" fillId="4" borderId="0" xfId="0" applyFont="1" applyFill="1" applyBorder="1" applyAlignment="1">
      <alignment horizontal="left" vertical="center" wrapText="1"/>
    </xf>
    <xf numFmtId="0" fontId="17" fillId="4" borderId="6" xfId="0" applyFont="1" applyFill="1" applyBorder="1" applyAlignment="1">
      <alignment horizontal="left" vertical="center"/>
    </xf>
    <xf numFmtId="0" fontId="17" fillId="4" borderId="0" xfId="0" applyFont="1" applyFill="1" applyAlignment="1">
      <alignment horizontal="left" vertical="center"/>
    </xf>
    <xf numFmtId="0" fontId="14" fillId="5" borderId="28" xfId="0" applyFont="1" applyFill="1" applyBorder="1" applyAlignment="1">
      <alignment horizontal="center" vertical="center" wrapText="1"/>
    </xf>
    <xf numFmtId="0" fontId="14" fillId="5" borderId="13" xfId="0" applyFont="1" applyFill="1" applyBorder="1" applyAlignment="1">
      <alignment horizontal="center" vertical="center" wrapText="1"/>
    </xf>
    <xf numFmtId="0" fontId="14" fillId="5" borderId="14" xfId="0" applyFont="1" applyFill="1" applyBorder="1" applyAlignment="1">
      <alignment horizontal="center" vertical="center" wrapText="1"/>
    </xf>
    <xf numFmtId="0" fontId="17" fillId="4" borderId="6" xfId="0" applyFont="1" applyFill="1" applyBorder="1" applyAlignment="1" applyProtection="1">
      <alignment horizontal="left" vertical="center"/>
      <protection hidden="1"/>
    </xf>
    <xf numFmtId="0" fontId="17" fillId="4" borderId="0" xfId="0" applyFont="1" applyFill="1" applyAlignment="1" applyProtection="1">
      <alignment horizontal="left" vertical="center"/>
      <protection hidden="1"/>
    </xf>
    <xf numFmtId="0" fontId="17" fillId="4" borderId="0" xfId="0" applyFont="1" applyFill="1" applyBorder="1" applyAlignment="1" applyProtection="1">
      <alignment horizontal="left" vertical="center"/>
      <protection hidden="1"/>
    </xf>
    <xf numFmtId="0" fontId="14" fillId="5" borderId="11" xfId="0" applyFont="1" applyFill="1" applyBorder="1" applyAlignment="1">
      <alignment horizontal="center" vertical="center" wrapText="1"/>
    </xf>
    <xf numFmtId="0" fontId="5" fillId="5" borderId="17" xfId="0" applyFont="1" applyFill="1" applyBorder="1" applyAlignment="1">
      <alignment horizontal="center" vertical="center"/>
    </xf>
    <xf numFmtId="0" fontId="5" fillId="5" borderId="18" xfId="0" applyFont="1" applyFill="1" applyBorder="1" applyAlignment="1">
      <alignment horizontal="center" vertical="center"/>
    </xf>
    <xf numFmtId="0" fontId="14" fillId="3" borderId="0" xfId="0" applyFont="1" applyFill="1" applyAlignment="1">
      <alignment horizontal="left" vertical="center" wrapText="1"/>
    </xf>
    <xf numFmtId="0" fontId="5" fillId="3" borderId="11" xfId="0" applyFont="1" applyFill="1" applyBorder="1" applyAlignment="1">
      <alignment horizontal="center" wrapText="1"/>
    </xf>
    <xf numFmtId="0" fontId="5" fillId="3" borderId="13" xfId="0" applyFont="1" applyFill="1" applyBorder="1" applyAlignment="1">
      <alignment horizontal="center" wrapText="1"/>
    </xf>
    <xf numFmtId="0" fontId="5" fillId="3" borderId="14" xfId="0" applyFont="1" applyFill="1" applyBorder="1" applyAlignment="1">
      <alignment horizontal="center" wrapText="1"/>
    </xf>
    <xf numFmtId="0" fontId="22" fillId="4" borderId="0" xfId="3" applyFont="1" applyFill="1" applyAlignment="1">
      <alignment horizontal="center"/>
    </xf>
    <xf numFmtId="0" fontId="2" fillId="4" borderId="12" xfId="0" applyFont="1" applyFill="1" applyBorder="1" applyAlignment="1">
      <alignment horizontal="center" vertical="center"/>
    </xf>
    <xf numFmtId="0" fontId="5" fillId="3" borderId="10" xfId="0" applyFont="1" applyFill="1" applyBorder="1" applyAlignment="1">
      <alignment horizontal="center" wrapText="1"/>
    </xf>
    <xf numFmtId="0" fontId="2" fillId="4" borderId="12" xfId="0" applyFont="1" applyFill="1" applyBorder="1" applyAlignment="1">
      <alignment horizontal="center" vertical="center" wrapText="1"/>
    </xf>
    <xf numFmtId="0" fontId="2" fillId="4" borderId="0" xfId="0" applyFont="1" applyFill="1" applyAlignment="1">
      <alignment horizontal="center" vertical="center"/>
    </xf>
    <xf numFmtId="0" fontId="28" fillId="4" borderId="0" xfId="0" applyFont="1" applyFill="1" applyAlignment="1">
      <alignment horizontal="right" vertical="center"/>
    </xf>
    <xf numFmtId="168" fontId="33" fillId="4" borderId="0" xfId="0" applyNumberFormat="1" applyFont="1" applyFill="1" applyBorder="1" applyAlignment="1" applyProtection="1">
      <alignment horizontal="center" vertical="center"/>
      <protection hidden="1"/>
    </xf>
    <xf numFmtId="0" fontId="33" fillId="4" borderId="0" xfId="0" applyFont="1" applyFill="1" applyBorder="1" applyAlignment="1" applyProtection="1">
      <alignment horizontal="center" vertical="center"/>
      <protection hidden="1"/>
    </xf>
    <xf numFmtId="0" fontId="23" fillId="4" borderId="0" xfId="0" applyFont="1" applyFill="1" applyAlignment="1" applyProtection="1">
      <alignment horizontal="center" vertical="center"/>
      <protection hidden="1"/>
    </xf>
  </cellXfs>
  <cellStyles count="8">
    <cellStyle name="Currency" xfId="1" builtinId="4"/>
    <cellStyle name="Hyperlink" xfId="3" builtinId="8"/>
    <cellStyle name="Normal" xfId="0" builtinId="0"/>
    <cellStyle name="Normal 2" xfId="5"/>
    <cellStyle name="Normal 3" xfId="6"/>
    <cellStyle name="Normal 4" xfId="4"/>
    <cellStyle name="Percent" xfId="2" builtinId="5"/>
    <cellStyle name="Percent 2" xfId="7"/>
  </cellStyles>
  <dxfs count="48">
    <dxf>
      <font>
        <b/>
        <i val="0"/>
        <color rgb="FFFF0000"/>
      </font>
    </dxf>
    <dxf>
      <font>
        <b/>
        <i val="0"/>
        <color rgb="FFFF0000"/>
      </font>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3" tint="0.59996337778862885"/>
        </patternFill>
      </fill>
    </dxf>
    <dxf>
      <font>
        <b/>
        <i val="0"/>
        <color rgb="FFFF0000"/>
      </font>
    </dxf>
    <dxf>
      <fill>
        <patternFill>
          <bgColor theme="3" tint="0.59996337778862885"/>
        </patternFill>
      </fill>
    </dxf>
    <dxf>
      <fill>
        <patternFill>
          <bgColor theme="3" tint="0.59996337778862885"/>
        </patternFill>
      </fill>
    </dxf>
    <dxf>
      <font>
        <b/>
        <i val="0"/>
        <color rgb="FFFF0000"/>
      </font>
    </dxf>
    <dxf>
      <font>
        <b/>
        <i val="0"/>
        <color rgb="FFFF0000"/>
      </font>
    </dxf>
    <dxf>
      <font>
        <color theme="1"/>
      </font>
      <fill>
        <patternFill>
          <bgColor theme="5" tint="0.59996337778862885"/>
        </patternFill>
      </fill>
      <border>
        <left style="thin">
          <color auto="1"/>
        </left>
        <right style="thin">
          <color auto="1"/>
        </right>
        <top style="thin">
          <color auto="1"/>
        </top>
        <bottom style="thin">
          <color auto="1"/>
        </bottom>
        <vertical/>
        <horizontal/>
      </border>
    </dxf>
    <dxf>
      <fill>
        <patternFill>
          <bgColor theme="0"/>
        </patternFill>
      </fill>
      <border>
        <left/>
        <right/>
        <top/>
        <bottom/>
        <vertical/>
        <horizontal/>
      </border>
    </dxf>
    <dxf>
      <font>
        <color theme="1"/>
      </font>
      <fill>
        <patternFill patternType="solid">
          <bgColor theme="0" tint="-4.9989318521683403E-2"/>
        </patternFill>
      </fill>
      <border>
        <left style="thin">
          <color auto="1"/>
        </left>
        <right style="thin">
          <color auto="1"/>
        </right>
        <top style="thin">
          <color auto="1"/>
        </top>
        <bottom style="thin">
          <color auto="1"/>
        </bottom>
        <vertical/>
        <horizontal/>
      </border>
    </dxf>
    <dxf>
      <font>
        <b/>
        <i val="0"/>
        <color rgb="FFFF0000"/>
      </font>
    </dxf>
    <dxf>
      <fill>
        <patternFill>
          <bgColor theme="3" tint="0.59996337778862885"/>
        </patternFill>
      </fill>
    </dxf>
    <dxf>
      <font>
        <b/>
        <i val="0"/>
        <color rgb="FFFF0000"/>
      </font>
    </dxf>
    <dxf>
      <font>
        <b/>
        <i val="0"/>
        <color rgb="FFFF0000"/>
      </font>
    </dxf>
    <dxf>
      <font>
        <b/>
        <i val="0"/>
        <color rgb="FFFF0000"/>
      </font>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ont>
        <b/>
        <i val="0"/>
        <color rgb="FFFF0000"/>
      </font>
    </dxf>
    <dxf>
      <font>
        <b/>
        <i val="0"/>
        <color rgb="FFFF0000"/>
      </font>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border>
    </dxf>
    <dxf>
      <fill>
        <patternFill>
          <bgColor rgb="FF92D050"/>
        </patternFill>
      </fill>
      <border>
        <left style="thin">
          <color auto="1"/>
        </left>
        <right style="thin">
          <color auto="1"/>
        </right>
        <top style="thin">
          <color auto="1"/>
        </top>
        <bottom style="thin">
          <color auto="1"/>
        </bottom>
      </border>
    </dxf>
    <dxf>
      <fill>
        <patternFill>
          <bgColor theme="5" tint="0.59996337778862885"/>
        </patternFill>
      </fill>
      <border>
        <left style="thin">
          <color auto="1"/>
        </left>
        <right style="thin">
          <color auto="1"/>
        </right>
        <top style="thin">
          <color auto="1"/>
        </top>
        <bottom style="thin">
          <color auto="1"/>
        </bottom>
        <vertical/>
        <horizontal/>
      </border>
    </dxf>
    <dxf>
      <fill>
        <patternFill>
          <bgColor theme="5" tint="0.59996337778862885"/>
        </patternFill>
      </fill>
      <border>
        <left style="thin">
          <color auto="1"/>
        </left>
        <right style="thin">
          <color auto="1"/>
        </right>
        <top style="thin">
          <color auto="1"/>
        </top>
        <bottom style="thin">
          <color auto="1"/>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1" Type="http://schemas.openxmlformats.org/officeDocument/2006/relationships/image" Target="../media/image2.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2.png"/></Relationships>
</file>

<file path=xl/drawings/_rels/drawing10.xml.rels><?xml version="1.0" encoding="UTF-8" standalone="yes"?>
<Relationships xmlns="http://schemas.openxmlformats.org/package/2006/relationships"><Relationship Id="rId1"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7.png"/><Relationship Id="rId1"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85725</xdr:colOff>
      <xdr:row>0</xdr:row>
      <xdr:rowOff>76200</xdr:rowOff>
    </xdr:from>
    <xdr:to>
      <xdr:col>5</xdr:col>
      <xdr:colOff>9525</xdr:colOff>
      <xdr:row>31</xdr:row>
      <xdr:rowOff>29913</xdr:rowOff>
    </xdr:to>
    <xdr:grpSp>
      <xdr:nvGrpSpPr>
        <xdr:cNvPr id="2" name="Group 1"/>
        <xdr:cNvGrpSpPr/>
      </xdr:nvGrpSpPr>
      <xdr:grpSpPr>
        <a:xfrm>
          <a:off x="85725" y="76200"/>
          <a:ext cx="8677275" cy="9926388"/>
          <a:chOff x="85725" y="76200"/>
          <a:chExt cx="7486650" cy="10206381"/>
        </a:xfrm>
      </xdr:grpSpPr>
      <mc:AlternateContent xmlns:mc="http://schemas.openxmlformats.org/markup-compatibility/2006">
        <mc:Choice xmlns:a14="http://schemas.microsoft.com/office/drawing/2010/main" Requires="a14">
          <xdr:sp macro="" textlink="">
            <xdr:nvSpPr>
              <xdr:cNvPr id="2049" name="VerifyOverview" hidden="1">
                <a:extLst>
                  <a:ext uri="{63B3BB69-23CF-44E3-9099-C40C66FF867C}">
                    <a14:compatExt spid="_x0000_s2049"/>
                  </a:ext>
                </a:extLst>
              </xdr:cNvPr>
              <xdr:cNvSpPr/>
            </xdr:nvSpPr>
            <xdr:spPr>
              <a:xfrm>
                <a:off x="4533900" y="9702822"/>
                <a:ext cx="3038475" cy="579759"/>
              </a:xfrm>
              <a:prstGeom prst="rect">
                <a:avLst/>
              </a:prstGeom>
            </xdr:spPr>
          </xdr:sp>
        </mc:Choice>
        <mc:Fallback/>
      </mc:AlternateContent>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862896" cy="952500"/>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76201</xdr:colOff>
      <xdr:row>0</xdr:row>
      <xdr:rowOff>57150</xdr:rowOff>
    </xdr:from>
    <xdr:to>
      <xdr:col>2</xdr:col>
      <xdr:colOff>2219325</xdr:colOff>
      <xdr:row>59</xdr:row>
      <xdr:rowOff>617333</xdr:rowOff>
    </xdr:to>
    <xdr:grpSp>
      <xdr:nvGrpSpPr>
        <xdr:cNvPr id="4" name="Group 3"/>
        <xdr:cNvGrpSpPr/>
      </xdr:nvGrpSpPr>
      <xdr:grpSpPr>
        <a:xfrm>
          <a:off x="76201" y="57150"/>
          <a:ext cx="7600949" cy="14276183"/>
          <a:chOff x="76201" y="57150"/>
          <a:chExt cx="6572249" cy="14676239"/>
        </a:xfrm>
      </xdr:grpSpPr>
      <mc:AlternateContent xmlns:mc="http://schemas.openxmlformats.org/markup-compatibility/2006">
        <mc:Choice xmlns:a14="http://schemas.microsoft.com/office/drawing/2010/main" Requires="a14">
          <xdr:sp macro="" textlink="">
            <xdr:nvSpPr>
              <xdr:cNvPr id="1026" name="VerifySubmission" hidden="1">
                <a:extLst>
                  <a:ext uri="{63B3BB69-23CF-44E3-9099-C40C66FF867C}">
                    <a14:compatExt spid="_x0000_s1026"/>
                  </a:ext>
                </a:extLst>
              </xdr:cNvPr>
              <xdr:cNvSpPr/>
            </xdr:nvSpPr>
            <xdr:spPr>
              <a:xfrm>
                <a:off x="3352801" y="14211307"/>
                <a:ext cx="3295649" cy="522082"/>
              </a:xfrm>
              <a:prstGeom prst="rect">
                <a:avLst/>
              </a:prstGeom>
            </xdr:spPr>
          </xdr:sp>
        </mc:Choice>
        <mc:Fallback/>
      </mc:AlternateContent>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1" y="57150"/>
            <a:ext cx="873006" cy="952500"/>
          </a:xfrm>
          <a:prstGeom prst="rect">
            <a:avLst/>
          </a:prstGeom>
        </xdr:spPr>
      </xdr:pic>
    </xdr:grpSp>
    <xdr:clientData/>
  </xdr:twoCellAnchor>
  <xdr:twoCellAnchor>
    <xdr:from>
      <xdr:col>2</xdr:col>
      <xdr:colOff>3067050</xdr:colOff>
      <xdr:row>0</xdr:row>
      <xdr:rowOff>47625</xdr:rowOff>
    </xdr:from>
    <xdr:to>
      <xdr:col>5</xdr:col>
      <xdr:colOff>0</xdr:colOff>
      <xdr:row>0</xdr:row>
      <xdr:rowOff>1057275</xdr:rowOff>
    </xdr:to>
    <xdr:sp macro="" textlink="">
      <xdr:nvSpPr>
        <xdr:cNvPr id="2" name="TextBox 1"/>
        <xdr:cNvSpPr txBox="1"/>
      </xdr:nvSpPr>
      <xdr:spPr>
        <a:xfrm>
          <a:off x="7496175" y="47625"/>
          <a:ext cx="2762250" cy="1009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85725</xdr:colOff>
      <xdr:row>0</xdr:row>
      <xdr:rowOff>85725</xdr:rowOff>
    </xdr:from>
    <xdr:to>
      <xdr:col>1</xdr:col>
      <xdr:colOff>381000</xdr:colOff>
      <xdr:row>0</xdr:row>
      <xdr:rowOff>1038225</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85725"/>
          <a:ext cx="952500" cy="9525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76200</xdr:colOff>
      <xdr:row>0</xdr:row>
      <xdr:rowOff>85725</xdr:rowOff>
    </xdr:from>
    <xdr:to>
      <xdr:col>1</xdr:col>
      <xdr:colOff>390525</xdr:colOff>
      <xdr:row>0</xdr:row>
      <xdr:rowOff>1038225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6200" y="85725"/>
          <a:ext cx="952500" cy="9525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1409700</xdr:colOff>
      <xdr:row>0</xdr:row>
      <xdr:rowOff>28575</xdr:rowOff>
    </xdr:from>
    <xdr:to>
      <xdr:col>3</xdr:col>
      <xdr:colOff>19051</xdr:colOff>
      <xdr:row>0</xdr:row>
      <xdr:rowOff>1057274</xdr:rowOff>
    </xdr:to>
    <xdr:sp macro="" textlink="">
      <xdr:nvSpPr>
        <xdr:cNvPr id="4" name="TextBox 3"/>
        <xdr:cNvSpPr txBox="1"/>
      </xdr:nvSpPr>
      <xdr:spPr>
        <a:xfrm>
          <a:off x="5410200" y="28575"/>
          <a:ext cx="2266951" cy="10286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361950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23925" cy="952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1743075</xdr:colOff>
      <xdr:row>0</xdr:row>
      <xdr:rowOff>76199</xdr:rowOff>
    </xdr:from>
    <xdr:to>
      <xdr:col>3</xdr:col>
      <xdr:colOff>19050</xdr:colOff>
      <xdr:row>0</xdr:row>
      <xdr:rowOff>1057274</xdr:rowOff>
    </xdr:to>
    <xdr:sp macro="" textlink="">
      <xdr:nvSpPr>
        <xdr:cNvPr id="2" name="TextBox 1"/>
        <xdr:cNvSpPr txBox="1"/>
      </xdr:nvSpPr>
      <xdr:spPr>
        <a:xfrm>
          <a:off x="4943475" y="76199"/>
          <a:ext cx="1981200" cy="9810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76200</xdr:rowOff>
    </xdr:from>
    <xdr:to>
      <xdr:col>1</xdr:col>
      <xdr:colOff>466725</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76200"/>
          <a:ext cx="952500" cy="9525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85725</xdr:colOff>
      <xdr:row>0</xdr:row>
      <xdr:rowOff>76200</xdr:rowOff>
    </xdr:from>
    <xdr:to>
      <xdr:col>1</xdr:col>
      <xdr:colOff>628650</xdr:colOff>
      <xdr:row>0</xdr:row>
      <xdr:rowOff>1028700</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twoCellAnchor>
    <xdr:from>
      <xdr:col>2</xdr:col>
      <xdr:colOff>1504950</xdr:colOff>
      <xdr:row>0</xdr:row>
      <xdr:rowOff>57149</xdr:rowOff>
    </xdr:from>
    <xdr:to>
      <xdr:col>3</xdr:col>
      <xdr:colOff>19050</xdr:colOff>
      <xdr:row>0</xdr:row>
      <xdr:rowOff>1057274</xdr:rowOff>
    </xdr:to>
    <xdr:sp macro="" textlink="">
      <xdr:nvSpPr>
        <xdr:cNvPr id="3" name="TextBox 2"/>
        <xdr:cNvSpPr txBox="1"/>
      </xdr:nvSpPr>
      <xdr:spPr>
        <a:xfrm>
          <a:off x="5019675" y="57149"/>
          <a:ext cx="208597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2</xdr:col>
      <xdr:colOff>1419225</xdr:colOff>
      <xdr:row>0</xdr:row>
      <xdr:rowOff>57149</xdr:rowOff>
    </xdr:from>
    <xdr:to>
      <xdr:col>3</xdr:col>
      <xdr:colOff>19050</xdr:colOff>
      <xdr:row>0</xdr:row>
      <xdr:rowOff>1057274</xdr:rowOff>
    </xdr:to>
    <xdr:sp macro="" textlink="">
      <xdr:nvSpPr>
        <xdr:cNvPr id="2" name="TextBox 1"/>
        <xdr:cNvSpPr txBox="1"/>
      </xdr:nvSpPr>
      <xdr:spPr>
        <a:xfrm>
          <a:off x="4781550" y="57149"/>
          <a:ext cx="2143125" cy="1000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85725</xdr:colOff>
      <xdr:row>0</xdr:row>
      <xdr:rowOff>76200</xdr:rowOff>
    </xdr:from>
    <xdr:to>
      <xdr:col>1</xdr:col>
      <xdr:colOff>628650</xdr:colOff>
      <xdr:row>0</xdr:row>
      <xdr:rowOff>1028700</xdr:rowOff>
    </xdr:to>
    <xdr:pic>
      <xdr:nvPicPr>
        <xdr:cNvPr id="3" name="Picture 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76200"/>
          <a:ext cx="952500" cy="9525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1714500</xdr:colOff>
      <xdr:row>0</xdr:row>
      <xdr:rowOff>123825</xdr:rowOff>
    </xdr:from>
    <xdr:to>
      <xdr:col>3</xdr:col>
      <xdr:colOff>9525</xdr:colOff>
      <xdr:row>0</xdr:row>
      <xdr:rowOff>1019175</xdr:rowOff>
    </xdr:to>
    <xdr:sp macro="" textlink="">
      <xdr:nvSpPr>
        <xdr:cNvPr id="2" name="TextBox 1"/>
        <xdr:cNvSpPr txBox="1"/>
      </xdr:nvSpPr>
      <xdr:spPr>
        <a:xfrm>
          <a:off x="4981575" y="123825"/>
          <a:ext cx="2457450" cy="895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editAs="absolute">
    <xdr:from>
      <xdr:col>0</xdr:col>
      <xdr:colOff>66675</xdr:colOff>
      <xdr:row>0</xdr:row>
      <xdr:rowOff>85725</xdr:rowOff>
    </xdr:from>
    <xdr:to>
      <xdr:col>1</xdr:col>
      <xdr:colOff>609600</xdr:colOff>
      <xdr:row>0</xdr:row>
      <xdr:rowOff>1038225</xdr:rowOff>
    </xdr:to>
    <xdr:pic>
      <xdr:nvPicPr>
        <xdr:cNvPr id="5" name="Picture 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6675" y="85725"/>
          <a:ext cx="952500" cy="95250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1676400</xdr:colOff>
      <xdr:row>0</xdr:row>
      <xdr:rowOff>152400</xdr:rowOff>
    </xdr:from>
    <xdr:to>
      <xdr:col>6</xdr:col>
      <xdr:colOff>28574</xdr:colOff>
      <xdr:row>0</xdr:row>
      <xdr:rowOff>1066800</xdr:rowOff>
    </xdr:to>
    <xdr:sp macro="" textlink="">
      <xdr:nvSpPr>
        <xdr:cNvPr id="6" name="TextBox 5"/>
        <xdr:cNvSpPr txBox="1"/>
      </xdr:nvSpPr>
      <xdr:spPr>
        <a:xfrm>
          <a:off x="7705725" y="152400"/>
          <a:ext cx="2400299" cy="91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100" b="1"/>
            <a:t>Notice Mailing Date: February 8, 2017</a:t>
          </a:r>
        </a:p>
      </xdr:txBody>
    </xdr:sp>
    <xdr:clientData/>
  </xdr:twoCellAnchor>
  <xdr:twoCellAnchor>
    <xdr:from>
      <xdr:col>0</xdr:col>
      <xdr:colOff>85725</xdr:colOff>
      <xdr:row>0</xdr:row>
      <xdr:rowOff>66675</xdr:rowOff>
    </xdr:from>
    <xdr:to>
      <xdr:col>1</xdr:col>
      <xdr:colOff>628650</xdr:colOff>
      <xdr:row>0</xdr:row>
      <xdr:rowOff>1019175</xdr:rowOff>
    </xdr:to>
    <xdr:pic>
      <xdr:nvPicPr>
        <xdr:cNvPr id="8" name="Picture 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5725" y="66675"/>
          <a:ext cx="952500" cy="95250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273841</xdr:colOff>
      <xdr:row>1</xdr:row>
      <xdr:rowOff>57150</xdr:rowOff>
    </xdr:from>
    <xdr:to>
      <xdr:col>0</xdr:col>
      <xdr:colOff>797716</xdr:colOff>
      <xdr:row>1</xdr:row>
      <xdr:rowOff>581025</xdr:rowOff>
    </xdr:to>
    <xdr:pic>
      <xdr:nvPicPr>
        <xdr:cNvPr id="4" name="Check" descr="C:\Users\081434\AppData\Local\Microsoft\Windows\Temporary Internet Files\Content.IE5\CS4LG4MF\GreenCheck[1].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3841" y="57150"/>
          <a:ext cx="523875" cy="5238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180973</xdr:colOff>
      <xdr:row>3</xdr:row>
      <xdr:rowOff>95251</xdr:rowOff>
    </xdr:from>
    <xdr:to>
      <xdr:col>0</xdr:col>
      <xdr:colOff>775072</xdr:colOff>
      <xdr:row>3</xdr:row>
      <xdr:rowOff>590551</xdr:rowOff>
    </xdr:to>
    <xdr:pic>
      <xdr:nvPicPr>
        <xdr:cNvPr id="5" name="Picture 4" descr="C:\Users\081434\AppData\Local\Microsoft\Windows\Temporary Internet Files\Content.IE5\RNGGWMDF\warning-sign11[1].png"/>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80973" y="2940845"/>
          <a:ext cx="594099"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7086600</xdr:colOff>
      <xdr:row>0</xdr:row>
      <xdr:rowOff>83345</xdr:rowOff>
    </xdr:from>
    <xdr:to>
      <xdr:col>2</xdr:col>
      <xdr:colOff>2382</xdr:colOff>
      <xdr:row>0</xdr:row>
      <xdr:rowOff>1107282</xdr:rowOff>
    </xdr:to>
    <xdr:sp macro="" textlink="">
      <xdr:nvSpPr>
        <xdr:cNvPr id="21" name="TextBox 20"/>
        <xdr:cNvSpPr txBox="1"/>
      </xdr:nvSpPr>
      <xdr:spPr>
        <a:xfrm>
          <a:off x="8077200" y="83345"/>
          <a:ext cx="4202907" cy="10239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US" sz="1200" b="1"/>
            <a:t>Notice Mailing Date: February 8, 2017</a:t>
          </a:r>
        </a:p>
      </xdr:txBody>
    </xdr:sp>
    <xdr:clientData/>
  </xdr:twoCellAnchor>
  <xdr:twoCellAnchor>
    <xdr:from>
      <xdr:col>0</xdr:col>
      <xdr:colOff>52386</xdr:colOff>
      <xdr:row>0</xdr:row>
      <xdr:rowOff>130968</xdr:rowOff>
    </xdr:from>
    <xdr:to>
      <xdr:col>1</xdr:col>
      <xdr:colOff>7191375</xdr:colOff>
      <xdr:row>9</xdr:row>
      <xdr:rowOff>219075</xdr:rowOff>
    </xdr:to>
    <xdr:grpSp>
      <xdr:nvGrpSpPr>
        <xdr:cNvPr id="2" name="Group 1"/>
        <xdr:cNvGrpSpPr/>
      </xdr:nvGrpSpPr>
      <xdr:grpSpPr>
        <a:xfrm>
          <a:off x="52386" y="130968"/>
          <a:ext cx="8129589" cy="6898482"/>
          <a:chOff x="52386" y="130968"/>
          <a:chExt cx="8129589" cy="6527009"/>
        </a:xfrm>
      </xdr:grpSpPr>
      <mc:AlternateContent xmlns:mc="http://schemas.openxmlformats.org/markup-compatibility/2006">
        <mc:Choice xmlns:a14="http://schemas.microsoft.com/office/drawing/2010/main" Requires="a14">
          <xdr:sp macro="" textlink="">
            <xdr:nvSpPr>
              <xdr:cNvPr id="4097" name="SAVE" hidden="1">
                <a:extLst>
                  <a:ext uri="{63B3BB69-23CF-44E3-9099-C40C66FF867C}">
                    <a14:compatExt spid="_x0000_s4097"/>
                  </a:ext>
                </a:extLst>
              </xdr:cNvPr>
              <xdr:cNvSpPr/>
            </xdr:nvSpPr>
            <xdr:spPr>
              <a:xfrm>
                <a:off x="4124325" y="6245459"/>
                <a:ext cx="1600200" cy="412518"/>
              </a:xfrm>
              <a:prstGeom prst="rect">
                <a:avLst/>
              </a:prstGeom>
            </xdr:spPr>
          </xdr:sp>
        </mc:Choice>
        <mc:Fallback/>
      </mc:AlternateContent>
      <xdr:pic>
        <xdr:nvPicPr>
          <xdr:cNvPr id="12" name="Picture 11"/>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2386" y="130968"/>
            <a:ext cx="923925" cy="876427"/>
          </a:xfrm>
          <a:prstGeom prst="rect">
            <a:avLst/>
          </a:prstGeom>
        </xdr:spPr>
      </xdr:pic>
      <mc:AlternateContent xmlns:mc="http://schemas.openxmlformats.org/markup-compatibility/2006">
        <mc:Choice xmlns:a14="http://schemas.microsoft.com/office/drawing/2010/main" Requires="a14">
          <xdr:sp macro="" textlink="">
            <xdr:nvSpPr>
              <xdr:cNvPr id="4098" name="PrintWorkbook" hidden="1">
                <a:extLst>
                  <a:ext uri="{63B3BB69-23CF-44E3-9099-C40C66FF867C}">
                    <a14:compatExt spid="_x0000_s4098"/>
                  </a:ext>
                </a:extLst>
              </xdr:cNvPr>
              <xdr:cNvSpPr/>
            </xdr:nvSpPr>
            <xdr:spPr>
              <a:xfrm>
                <a:off x="6410325" y="6223746"/>
                <a:ext cx="1771650" cy="412518"/>
              </a:xfrm>
              <a:prstGeom prst="rect">
                <a:avLst/>
              </a:prstGeom>
            </xdr:spPr>
          </xdr:sp>
        </mc:Choice>
        <mc:Fallback/>
      </mc:AlternateContent>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 Id="rId6" Type="http://schemas.openxmlformats.org/officeDocument/2006/relationships/image" Target="../media/image3.emf"/><Relationship Id="rId5" Type="http://schemas.openxmlformats.org/officeDocument/2006/relationships/control" Target="../activeX/activeX2.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4.bin"/><Relationship Id="rId1" Type="http://schemas.openxmlformats.org/officeDocument/2006/relationships/printerSettings" Target="../printerSettings/printerSettings13.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7.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9.bin"/><Relationship Id="rId1" Type="http://schemas.openxmlformats.org/officeDocument/2006/relationships/printerSettings" Target="../printerSettings/printerSettings18.bin"/></Relationships>
</file>

<file path=xl/worksheets/_rels/sheet11.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drawing" Target="../drawings/drawing11.xml"/><Relationship Id="rId7" Type="http://schemas.openxmlformats.org/officeDocument/2006/relationships/control" Target="../activeX/activeX4.xml"/><Relationship Id="rId2" Type="http://schemas.openxmlformats.org/officeDocument/2006/relationships/printerSettings" Target="../printerSettings/printerSettings21.bin"/><Relationship Id="rId1" Type="http://schemas.openxmlformats.org/officeDocument/2006/relationships/printerSettings" Target="../printerSettings/printerSettings20.bin"/><Relationship Id="rId6" Type="http://schemas.openxmlformats.org/officeDocument/2006/relationships/image" Target="../media/image4.emf"/><Relationship Id="rId5" Type="http://schemas.openxmlformats.org/officeDocument/2006/relationships/control" Target="../activeX/activeX3.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5"/>
    <pageSetUpPr fitToPage="1"/>
  </sheetPr>
  <dimension ref="A1:R101"/>
  <sheetViews>
    <sheetView tabSelected="1" zoomScaleNormal="100" workbookViewId="0">
      <selection activeCell="B8" sqref="B8"/>
    </sheetView>
  </sheetViews>
  <sheetFormatPr defaultColWidth="0" defaultRowHeight="15"/>
  <cols>
    <col min="1" max="1" width="43.42578125" bestFit="1" customWidth="1"/>
    <col min="2" max="2" width="43.140625" customWidth="1"/>
    <col min="3" max="3" width="19.28515625" bestFit="1" customWidth="1"/>
    <col min="4" max="5" width="12.7109375" customWidth="1"/>
    <col min="6" max="7" width="12.7109375" style="10" customWidth="1"/>
    <col min="8" max="8" width="12.7109375" customWidth="1"/>
    <col min="9" max="11" width="12.7109375" style="10" customWidth="1"/>
    <col min="12" max="12" width="6.7109375" style="10" customWidth="1"/>
    <col min="13" max="13" width="11" style="10" hidden="1" customWidth="1"/>
    <col min="14" max="17" width="11" style="10" customWidth="1"/>
    <col min="18" max="18" width="7.140625" style="10" customWidth="1"/>
    <col min="19" max="20" width="11" style="10" customWidth="1"/>
    <col min="21" max="16384" width="0" style="10" hidden="1"/>
  </cols>
  <sheetData>
    <row r="1" spans="1:18" ht="85.5" customHeight="1">
      <c r="A1" s="176"/>
      <c r="B1" s="176"/>
      <c r="C1" s="175" t="s">
        <v>118</v>
      </c>
      <c r="D1" s="175"/>
      <c r="E1" s="175"/>
      <c r="F1" s="177" t="s">
        <v>152</v>
      </c>
      <c r="G1" s="177"/>
      <c r="H1" s="177"/>
      <c r="I1" s="177"/>
      <c r="J1" s="177"/>
      <c r="K1" s="177"/>
      <c r="L1" s="16"/>
      <c r="M1" s="16"/>
      <c r="N1" s="16"/>
      <c r="O1" s="16"/>
      <c r="P1" s="16"/>
      <c r="Q1" s="16"/>
      <c r="R1" s="16"/>
    </row>
    <row r="2" spans="1:18" s="111" customFormat="1" ht="28.5" customHeight="1">
      <c r="A2" s="184" t="s">
        <v>28</v>
      </c>
      <c r="B2" s="184"/>
      <c r="C2" s="184"/>
      <c r="D2" s="184"/>
      <c r="E2" s="184"/>
      <c r="F2" s="184"/>
      <c r="G2" s="184"/>
      <c r="H2" s="184"/>
      <c r="I2" s="184"/>
      <c r="J2" s="184"/>
      <c r="K2" s="184"/>
    </row>
    <row r="3" spans="1:18" ht="38.25" customHeight="1">
      <c r="A3" s="185" t="s">
        <v>153</v>
      </c>
      <c r="B3" s="185"/>
      <c r="C3" s="185"/>
      <c r="D3" s="185"/>
      <c r="E3" s="185"/>
      <c r="F3" s="185"/>
      <c r="G3" s="185"/>
      <c r="H3" s="185"/>
      <c r="I3" s="185"/>
      <c r="J3" s="185"/>
      <c r="K3" s="185"/>
    </row>
    <row r="4" spans="1:18" ht="35.25" customHeight="1">
      <c r="A4" s="192" t="s">
        <v>114</v>
      </c>
      <c r="B4" s="185"/>
      <c r="C4" s="185"/>
      <c r="D4" s="185"/>
      <c r="E4" s="185"/>
      <c r="F4" s="185"/>
      <c r="G4" s="185"/>
      <c r="H4" s="185"/>
      <c r="I4" s="185"/>
      <c r="J4" s="185"/>
      <c r="K4" s="185"/>
    </row>
    <row r="5" spans="1:18" ht="102" customHeight="1" thickBot="1">
      <c r="A5" s="193" t="s">
        <v>155</v>
      </c>
      <c r="B5" s="193"/>
      <c r="C5" s="193"/>
      <c r="D5" s="193"/>
      <c r="E5" s="193"/>
      <c r="F5" s="193"/>
      <c r="G5" s="193"/>
      <c r="H5" s="193"/>
      <c r="I5" s="193"/>
      <c r="J5" s="193"/>
      <c r="K5" s="193"/>
    </row>
    <row r="6" spans="1:18" s="110" customFormat="1" ht="21" customHeight="1">
      <c r="A6" s="186" t="s">
        <v>37</v>
      </c>
      <c r="B6" s="187"/>
      <c r="C6" s="187"/>
      <c r="D6" s="187"/>
      <c r="E6" s="187"/>
      <c r="F6" s="187"/>
      <c r="G6" s="187"/>
      <c r="H6" s="187"/>
      <c r="I6" s="187"/>
      <c r="J6" s="187"/>
      <c r="K6" s="188"/>
    </row>
    <row r="7" spans="1:18" s="110" customFormat="1">
      <c r="A7" s="92" t="s">
        <v>96</v>
      </c>
      <c r="B7" s="86"/>
      <c r="C7" s="179" t="s">
        <v>147</v>
      </c>
      <c r="D7" s="179"/>
      <c r="E7" s="179"/>
      <c r="F7" s="179"/>
      <c r="G7" s="179"/>
      <c r="H7" s="179"/>
      <c r="I7" s="179"/>
      <c r="J7" s="179"/>
      <c r="K7" s="180"/>
    </row>
    <row r="8" spans="1:18" s="110" customFormat="1">
      <c r="A8" s="92" t="s">
        <v>97</v>
      </c>
      <c r="B8" s="86"/>
      <c r="C8" s="24"/>
      <c r="D8" s="24"/>
      <c r="E8" s="24"/>
      <c r="F8" s="24"/>
      <c r="G8" s="24"/>
      <c r="H8" s="24"/>
      <c r="I8" s="24"/>
      <c r="J8" s="24"/>
      <c r="K8" s="24"/>
    </row>
    <row r="9" spans="1:18" s="110" customFormat="1">
      <c r="A9" s="92" t="s">
        <v>98</v>
      </c>
      <c r="B9" s="87"/>
      <c r="C9" s="23"/>
      <c r="D9" s="23"/>
      <c r="E9" s="23"/>
      <c r="F9" s="23"/>
      <c r="G9" s="23"/>
      <c r="H9" s="23"/>
      <c r="I9" s="23"/>
      <c r="J9" s="23"/>
      <c r="K9" s="80"/>
    </row>
    <row r="10" spans="1:18" s="110" customFormat="1">
      <c r="A10" s="92" t="s">
        <v>99</v>
      </c>
      <c r="B10" s="90" t="s">
        <v>113</v>
      </c>
      <c r="C10" s="23"/>
      <c r="D10" s="23"/>
      <c r="E10" s="23"/>
      <c r="F10" s="23"/>
      <c r="G10" s="23"/>
      <c r="H10" s="23"/>
      <c r="I10" s="23"/>
      <c r="J10" s="23"/>
      <c r="K10" s="80"/>
    </row>
    <row r="11" spans="1:18" s="110" customFormat="1">
      <c r="A11" s="92" t="s">
        <v>100</v>
      </c>
      <c r="B11" s="90" t="s">
        <v>112</v>
      </c>
      <c r="C11" s="23"/>
      <c r="D11" s="23"/>
      <c r="E11" s="23"/>
      <c r="F11" s="23"/>
      <c r="G11" s="23"/>
      <c r="H11" s="23"/>
      <c r="I11" s="23"/>
      <c r="J11" s="23"/>
      <c r="K11" s="80"/>
    </row>
    <row r="12" spans="1:18" s="110" customFormat="1">
      <c r="A12" s="92" t="s">
        <v>102</v>
      </c>
      <c r="B12" s="87"/>
      <c r="C12" s="23"/>
      <c r="D12" s="23"/>
      <c r="E12" s="23"/>
      <c r="F12" s="23"/>
      <c r="G12" s="23"/>
      <c r="H12" s="23"/>
      <c r="I12" s="23"/>
      <c r="J12" s="23"/>
      <c r="K12" s="80"/>
    </row>
    <row r="13" spans="1:18" s="110" customFormat="1">
      <c r="A13" s="92" t="s">
        <v>103</v>
      </c>
      <c r="B13" s="87"/>
      <c r="C13" s="23"/>
      <c r="D13" s="23"/>
      <c r="E13" s="23"/>
      <c r="F13" s="23"/>
      <c r="G13" s="23"/>
      <c r="H13" s="23"/>
      <c r="I13" s="23"/>
      <c r="J13" s="23"/>
      <c r="K13" s="80"/>
    </row>
    <row r="14" spans="1:18" s="110" customFormat="1">
      <c r="A14" s="92" t="s">
        <v>104</v>
      </c>
      <c r="B14" s="87"/>
      <c r="C14" s="23"/>
      <c r="D14" s="23"/>
      <c r="E14" s="23"/>
      <c r="F14" s="23"/>
      <c r="G14" s="23"/>
      <c r="H14" s="23"/>
      <c r="I14" s="23"/>
      <c r="J14" s="23"/>
      <c r="K14" s="80"/>
    </row>
    <row r="15" spans="1:18" s="110" customFormat="1">
      <c r="A15" s="92" t="s">
        <v>105</v>
      </c>
      <c r="B15" s="87"/>
      <c r="C15" s="23"/>
      <c r="D15" s="23"/>
      <c r="E15" s="23"/>
      <c r="F15" s="23"/>
      <c r="G15" s="23"/>
      <c r="H15" s="23"/>
      <c r="I15" s="23"/>
      <c r="J15" s="23"/>
      <c r="K15" s="80"/>
    </row>
    <row r="16" spans="1:18" s="110" customFormat="1">
      <c r="A16" s="92" t="s">
        <v>100</v>
      </c>
      <c r="B16" s="87"/>
      <c r="C16" s="23"/>
      <c r="D16" s="23"/>
      <c r="E16" s="23"/>
      <c r="F16" s="23"/>
      <c r="G16" s="23"/>
      <c r="H16" s="23"/>
      <c r="I16" s="23"/>
      <c r="J16" s="23"/>
      <c r="K16" s="80"/>
    </row>
    <row r="17" spans="1:11" s="110" customFormat="1">
      <c r="A17" s="92" t="s">
        <v>101</v>
      </c>
      <c r="B17" s="87"/>
      <c r="C17" s="23"/>
      <c r="D17" s="23"/>
      <c r="E17" s="23"/>
      <c r="F17" s="23"/>
      <c r="G17" s="23"/>
      <c r="H17" s="23"/>
      <c r="I17" s="23"/>
      <c r="J17" s="23"/>
      <c r="K17" s="80"/>
    </row>
    <row r="18" spans="1:11" s="110" customFormat="1">
      <c r="A18" s="92" t="s">
        <v>95</v>
      </c>
      <c r="B18" s="49"/>
      <c r="C18" s="23"/>
      <c r="D18" s="23"/>
      <c r="E18" s="23"/>
      <c r="F18" s="23"/>
      <c r="G18" s="23"/>
      <c r="H18" s="23"/>
      <c r="I18" s="23"/>
      <c r="J18" s="23"/>
      <c r="K18" s="80"/>
    </row>
    <row r="19" spans="1:11" s="110" customFormat="1">
      <c r="A19" s="92" t="s">
        <v>106</v>
      </c>
      <c r="B19" s="87"/>
      <c r="C19" s="23"/>
      <c r="D19" s="23"/>
      <c r="E19" s="23"/>
      <c r="F19" s="23"/>
      <c r="G19" s="23"/>
      <c r="H19" s="23"/>
      <c r="I19" s="23"/>
      <c r="J19" s="23"/>
      <c r="K19" s="80"/>
    </row>
    <row r="20" spans="1:11" s="110" customFormat="1">
      <c r="A20" s="93" t="s">
        <v>107</v>
      </c>
      <c r="B20" s="88"/>
      <c r="C20" s="51"/>
      <c r="D20" s="51"/>
      <c r="E20" s="51"/>
      <c r="F20" s="51"/>
      <c r="G20" s="51"/>
      <c r="H20" s="51"/>
      <c r="I20" s="51"/>
      <c r="J20" s="51"/>
      <c r="K20" s="81"/>
    </row>
    <row r="21" spans="1:11" s="110" customFormat="1" ht="24.75" customHeight="1">
      <c r="A21" s="181" t="s">
        <v>108</v>
      </c>
      <c r="B21" s="182"/>
      <c r="C21" s="182"/>
      <c r="D21" s="182"/>
      <c r="E21" s="182"/>
      <c r="F21" s="182"/>
      <c r="G21" s="182"/>
      <c r="H21" s="182"/>
      <c r="I21" s="182"/>
      <c r="J21" s="182"/>
      <c r="K21" s="183"/>
    </row>
    <row r="22" spans="1:11" ht="39.75" customHeight="1">
      <c r="A22" s="189" t="s">
        <v>151</v>
      </c>
      <c r="B22" s="190"/>
      <c r="C22" s="190"/>
      <c r="D22" s="190"/>
      <c r="E22" s="190"/>
      <c r="F22" s="190"/>
      <c r="G22" s="190"/>
      <c r="H22" s="190"/>
      <c r="I22" s="190"/>
      <c r="J22" s="190"/>
      <c r="K22" s="191"/>
    </row>
    <row r="23" spans="1:11">
      <c r="A23" s="167" t="s">
        <v>31</v>
      </c>
      <c r="B23" s="87"/>
      <c r="C23" s="94" t="s">
        <v>32</v>
      </c>
      <c r="D23" s="25"/>
      <c r="E23" s="16"/>
      <c r="F23" s="16"/>
      <c r="G23" s="16"/>
      <c r="H23" s="16"/>
      <c r="I23" s="16"/>
      <c r="J23" s="16"/>
      <c r="K23" s="82"/>
    </row>
    <row r="24" spans="1:11">
      <c r="A24" s="92" t="s">
        <v>95</v>
      </c>
      <c r="B24" s="49"/>
      <c r="C24" s="9"/>
      <c r="D24" s="9"/>
      <c r="E24" s="16"/>
      <c r="F24" s="16"/>
      <c r="G24" s="16"/>
      <c r="H24" s="16"/>
      <c r="I24" s="16"/>
      <c r="J24" s="16"/>
      <c r="K24" s="82"/>
    </row>
    <row r="25" spans="1:11">
      <c r="A25" s="91" t="s">
        <v>29</v>
      </c>
      <c r="B25" s="141"/>
      <c r="C25" s="9"/>
      <c r="D25" s="9"/>
      <c r="E25" s="16"/>
      <c r="F25" s="16"/>
      <c r="G25" s="16"/>
      <c r="H25" s="16"/>
      <c r="I25" s="16"/>
      <c r="J25" s="16"/>
      <c r="K25" s="82"/>
    </row>
    <row r="26" spans="1:11" ht="42.75" customHeight="1">
      <c r="A26" s="189" t="s">
        <v>151</v>
      </c>
      <c r="B26" s="190"/>
      <c r="C26" s="190"/>
      <c r="D26" s="190"/>
      <c r="E26" s="190"/>
      <c r="F26" s="190"/>
      <c r="G26" s="190"/>
      <c r="H26" s="190"/>
      <c r="I26" s="190"/>
      <c r="J26" s="190"/>
      <c r="K26" s="191"/>
    </row>
    <row r="27" spans="1:11">
      <c r="A27" s="167" t="s">
        <v>30</v>
      </c>
      <c r="B27" s="87"/>
      <c r="C27" s="94" t="s">
        <v>32</v>
      </c>
      <c r="D27" s="25"/>
      <c r="E27" s="76"/>
      <c r="F27" s="16"/>
      <c r="G27" s="16"/>
      <c r="H27" s="16"/>
      <c r="I27" s="16"/>
      <c r="J27" s="16"/>
      <c r="K27" s="82"/>
    </row>
    <row r="28" spans="1:11">
      <c r="A28" s="92" t="s">
        <v>95</v>
      </c>
      <c r="B28" s="49"/>
      <c r="C28" s="9"/>
      <c r="D28" s="9"/>
      <c r="E28" s="16"/>
      <c r="F28" s="16"/>
      <c r="G28" s="16"/>
      <c r="H28" s="16"/>
      <c r="I28" s="16"/>
      <c r="J28" s="16"/>
      <c r="K28" s="82"/>
    </row>
    <row r="29" spans="1:11">
      <c r="A29" s="91" t="s">
        <v>29</v>
      </c>
      <c r="B29" s="141"/>
      <c r="C29" s="9"/>
      <c r="D29" s="9"/>
      <c r="E29" s="16"/>
      <c r="F29" s="16"/>
      <c r="G29" s="16"/>
      <c r="H29" s="16"/>
      <c r="I29" s="16"/>
      <c r="J29" s="16"/>
      <c r="K29" s="82"/>
    </row>
    <row r="30" spans="1:11" s="50" customFormat="1" ht="15.75" thickBot="1">
      <c r="A30" s="83"/>
      <c r="B30" s="84"/>
      <c r="C30" s="84"/>
      <c r="D30" s="84"/>
      <c r="E30" s="84"/>
      <c r="F30" s="84"/>
      <c r="G30" s="84"/>
      <c r="H30" s="84"/>
      <c r="I30" s="84"/>
      <c r="J30" s="84"/>
      <c r="K30" s="85"/>
    </row>
    <row r="31" spans="1:11" s="138" customFormat="1" ht="51.75" customHeight="1">
      <c r="A31" s="178"/>
      <c r="B31" s="178"/>
      <c r="C31" s="178"/>
      <c r="D31" s="178"/>
      <c r="E31" s="178"/>
      <c r="F31" s="178"/>
      <c r="G31" s="178"/>
      <c r="H31" s="178"/>
      <c r="I31" s="178"/>
      <c r="J31" s="178"/>
      <c r="K31" s="178"/>
    </row>
    <row r="32" spans="1:11" s="46" customFormat="1">
      <c r="B32" s="139"/>
      <c r="C32" s="139"/>
    </row>
    <row r="33" spans="1:5" s="46" customFormat="1">
      <c r="A33" s="47"/>
      <c r="B33" s="47"/>
      <c r="C33" s="47"/>
      <c r="D33" s="47"/>
      <c r="E33" s="48">
        <f>COUNTBLANK(B7:B20)</f>
        <v>12</v>
      </c>
    </row>
    <row r="34" spans="1:5" s="46" customFormat="1">
      <c r="A34" s="47"/>
      <c r="B34" s="47"/>
      <c r="C34" s="47"/>
      <c r="D34" s="47"/>
      <c r="E34" s="48">
        <f>COUNTBLANK(B23:B25)</f>
        <v>3</v>
      </c>
    </row>
    <row r="35" spans="1:5" s="46" customFormat="1">
      <c r="A35" s="47"/>
      <c r="B35" s="47"/>
      <c r="C35" s="47"/>
      <c r="D35" s="47"/>
      <c r="E35" s="48">
        <f>COUNTBLANK(B27:B29)</f>
        <v>3</v>
      </c>
    </row>
    <row r="36" spans="1:5" s="46" customFormat="1">
      <c r="E36" s="46">
        <f>COUNTBLANK(D23)</f>
        <v>1</v>
      </c>
    </row>
    <row r="37" spans="1:5" s="46" customFormat="1">
      <c r="E37" s="46">
        <f>COUNTBLANK(D27)</f>
        <v>1</v>
      </c>
    </row>
    <row r="38" spans="1:5" s="46" customFormat="1">
      <c r="E38" s="46">
        <f>SUM(E33:E37)</f>
        <v>20</v>
      </c>
    </row>
    <row r="39" spans="1:5" s="46" customFormat="1"/>
    <row r="40" spans="1:5" s="140" customFormat="1"/>
    <row r="41" spans="1:5" s="140" customFormat="1"/>
    <row r="42" spans="1:5" s="140" customFormat="1"/>
    <row r="43" spans="1:5" s="140" customFormat="1"/>
    <row r="44" spans="1:5" s="140" customFormat="1"/>
    <row r="45" spans="1:5" s="140" customFormat="1"/>
    <row r="46" spans="1:5" s="140" customFormat="1"/>
    <row r="47" spans="1:5" s="140" customFormat="1"/>
    <row r="48" spans="1:5" s="140" customFormat="1"/>
    <row r="49" spans="1:8" s="140" customFormat="1"/>
    <row r="50" spans="1:8" s="11" customFormat="1"/>
    <row r="51" spans="1:8" s="11" customFormat="1"/>
    <row r="52" spans="1:8" s="11" customFormat="1"/>
    <row r="53" spans="1:8" s="11" customFormat="1"/>
    <row r="54" spans="1:8" s="11" customFormat="1"/>
    <row r="55" spans="1:8" s="11" customFormat="1"/>
    <row r="56" spans="1:8" s="11" customFormat="1"/>
    <row r="57" spans="1:8" s="11" customFormat="1"/>
    <row r="58" spans="1:8" s="11" customFormat="1"/>
    <row r="59" spans="1:8">
      <c r="A59" s="10"/>
      <c r="B59" s="10"/>
      <c r="C59" s="10"/>
      <c r="D59" s="10"/>
      <c r="E59" s="10"/>
      <c r="H59" s="10"/>
    </row>
    <row r="60" spans="1:8">
      <c r="A60" s="10"/>
      <c r="B60" s="10"/>
      <c r="C60" s="10"/>
      <c r="D60" s="10"/>
      <c r="E60" s="10"/>
      <c r="H60" s="10"/>
    </row>
    <row r="61" spans="1:8">
      <c r="A61" s="10"/>
      <c r="B61" s="10"/>
      <c r="C61" s="10"/>
      <c r="D61" s="10"/>
      <c r="E61" s="10"/>
      <c r="H61" s="10"/>
    </row>
    <row r="62" spans="1:8">
      <c r="A62" s="10"/>
      <c r="B62" s="10"/>
      <c r="C62" s="10"/>
      <c r="D62" s="10"/>
      <c r="E62" s="10"/>
      <c r="H62" s="10"/>
    </row>
    <row r="63" spans="1:8">
      <c r="A63" s="10"/>
      <c r="B63" s="10"/>
      <c r="C63" s="10"/>
      <c r="D63" s="10"/>
      <c r="E63" s="10"/>
      <c r="H63" s="10"/>
    </row>
    <row r="64" spans="1:8">
      <c r="A64" s="10"/>
      <c r="B64" s="10"/>
      <c r="C64" s="10"/>
      <c r="D64" s="10"/>
      <c r="E64" s="10"/>
      <c r="H64" s="10"/>
    </row>
    <row r="65" spans="1:8">
      <c r="A65" s="10"/>
      <c r="B65" s="10"/>
      <c r="C65" s="10"/>
      <c r="D65" s="10"/>
      <c r="E65" s="10"/>
      <c r="H65" s="10"/>
    </row>
    <row r="66" spans="1:8">
      <c r="A66" s="10"/>
      <c r="B66" s="10"/>
      <c r="C66" s="10"/>
      <c r="D66" s="10"/>
      <c r="E66" s="10"/>
      <c r="H66" s="10"/>
    </row>
    <row r="67" spans="1:8">
      <c r="A67" s="10"/>
      <c r="B67" s="10"/>
      <c r="C67" s="10"/>
      <c r="D67" s="10"/>
      <c r="E67" s="10"/>
      <c r="H67" s="10"/>
    </row>
    <row r="68" spans="1:8">
      <c r="A68" s="10"/>
      <c r="B68" s="10"/>
      <c r="C68" s="10"/>
      <c r="D68" s="10"/>
      <c r="E68" s="10"/>
      <c r="H68" s="10"/>
    </row>
    <row r="69" spans="1:8">
      <c r="A69" s="10"/>
      <c r="B69" s="10"/>
      <c r="C69" s="10"/>
      <c r="D69" s="10"/>
      <c r="E69" s="10"/>
      <c r="H69" s="10"/>
    </row>
    <row r="70" spans="1:8">
      <c r="A70" s="10"/>
      <c r="B70" s="10"/>
      <c r="C70" s="10"/>
      <c r="D70" s="10"/>
      <c r="E70" s="10"/>
      <c r="H70" s="10"/>
    </row>
    <row r="71" spans="1:8">
      <c r="A71" s="10"/>
      <c r="B71" s="10"/>
      <c r="C71" s="10"/>
      <c r="D71" s="10"/>
      <c r="E71" s="10"/>
      <c r="H71" s="10"/>
    </row>
    <row r="72" spans="1:8">
      <c r="A72" s="10"/>
      <c r="B72" s="10"/>
      <c r="C72" s="10"/>
      <c r="D72" s="10"/>
      <c r="E72" s="10"/>
      <c r="H72" s="10"/>
    </row>
    <row r="73" spans="1:8">
      <c r="A73" s="10"/>
      <c r="B73" s="10"/>
      <c r="C73" s="10"/>
      <c r="D73" s="10"/>
      <c r="E73" s="10"/>
      <c r="H73" s="10"/>
    </row>
    <row r="74" spans="1:8">
      <c r="A74" s="10"/>
      <c r="B74" s="10"/>
      <c r="C74" s="10"/>
      <c r="D74" s="10"/>
      <c r="E74" s="10"/>
      <c r="H74" s="10"/>
    </row>
    <row r="75" spans="1:8">
      <c r="A75" s="10"/>
      <c r="B75" s="10"/>
      <c r="C75" s="10"/>
      <c r="D75" s="10"/>
      <c r="E75" s="10"/>
      <c r="H75" s="10"/>
    </row>
    <row r="76" spans="1:8">
      <c r="A76" s="10"/>
      <c r="B76" s="10"/>
      <c r="C76" s="10"/>
      <c r="D76" s="10"/>
      <c r="E76" s="10"/>
      <c r="H76" s="10"/>
    </row>
    <row r="77" spans="1:8">
      <c r="A77" s="10"/>
      <c r="B77" s="10"/>
      <c r="C77" s="10"/>
      <c r="D77" s="10"/>
      <c r="E77" s="10"/>
      <c r="H77" s="10"/>
    </row>
    <row r="78" spans="1:8">
      <c r="A78" s="10"/>
      <c r="B78" s="10"/>
      <c r="C78" s="10"/>
      <c r="D78" s="10"/>
      <c r="E78" s="10"/>
      <c r="H78" s="10"/>
    </row>
    <row r="79" spans="1:8">
      <c r="A79" s="10"/>
      <c r="B79" s="10"/>
      <c r="C79" s="10"/>
      <c r="D79" s="10"/>
      <c r="E79" s="10"/>
      <c r="H79" s="10"/>
    </row>
    <row r="80" spans="1:8">
      <c r="A80" s="10"/>
      <c r="B80" s="10"/>
      <c r="C80" s="10"/>
      <c r="D80" s="10"/>
      <c r="E80" s="10"/>
      <c r="H80" s="10"/>
    </row>
    <row r="81" spans="1:8">
      <c r="A81" s="10"/>
      <c r="B81" s="10"/>
      <c r="C81" s="10"/>
      <c r="D81" s="10"/>
      <c r="E81" s="10"/>
      <c r="H81" s="10"/>
    </row>
    <row r="82" spans="1:8">
      <c r="A82" s="10"/>
      <c r="B82" s="10"/>
      <c r="C82" s="10"/>
      <c r="D82" s="10"/>
      <c r="E82" s="10"/>
      <c r="H82" s="10"/>
    </row>
    <row r="83" spans="1:8">
      <c r="A83" s="10"/>
      <c r="B83" s="10"/>
      <c r="C83" s="10"/>
      <c r="D83" s="10"/>
      <c r="E83" s="10"/>
      <c r="H83" s="10"/>
    </row>
    <row r="84" spans="1:8">
      <c r="A84" s="10"/>
      <c r="B84" s="10"/>
      <c r="C84" s="10"/>
      <c r="D84" s="10"/>
      <c r="E84" s="10"/>
      <c r="H84" s="10"/>
    </row>
    <row r="85" spans="1:8">
      <c r="A85" s="10"/>
      <c r="B85" s="10"/>
      <c r="C85" s="10"/>
      <c r="D85" s="10"/>
      <c r="E85" s="10"/>
      <c r="H85" s="10"/>
    </row>
    <row r="86" spans="1:8">
      <c r="A86" s="10"/>
      <c r="B86" s="10"/>
      <c r="C86" s="10"/>
      <c r="D86" s="10"/>
      <c r="E86" s="10"/>
      <c r="H86" s="10"/>
    </row>
    <row r="87" spans="1:8">
      <c r="A87" s="10"/>
      <c r="B87" s="10"/>
      <c r="C87" s="10"/>
      <c r="D87" s="10"/>
      <c r="E87" s="10"/>
      <c r="H87" s="10"/>
    </row>
    <row r="88" spans="1:8">
      <c r="A88" s="10"/>
      <c r="B88" s="10"/>
      <c r="C88" s="10"/>
      <c r="D88" s="10"/>
      <c r="E88" s="10"/>
      <c r="H88" s="10"/>
    </row>
    <row r="89" spans="1:8">
      <c r="A89" s="10"/>
      <c r="B89" s="10"/>
      <c r="C89" s="10"/>
      <c r="D89" s="10"/>
      <c r="E89" s="10"/>
      <c r="H89" s="10"/>
    </row>
    <row r="90" spans="1:8">
      <c r="A90" s="10"/>
      <c r="B90" s="10"/>
      <c r="C90" s="10"/>
      <c r="D90" s="10"/>
      <c r="E90" s="10"/>
      <c r="H90" s="10"/>
    </row>
    <row r="91" spans="1:8">
      <c r="A91" s="10"/>
      <c r="B91" s="10"/>
      <c r="C91" s="10"/>
      <c r="D91" s="10"/>
      <c r="E91" s="10"/>
      <c r="H91" s="10"/>
    </row>
    <row r="92" spans="1:8">
      <c r="A92" s="10"/>
      <c r="B92" s="10"/>
      <c r="C92" s="10"/>
      <c r="D92" s="10"/>
      <c r="E92" s="10"/>
      <c r="H92" s="10"/>
    </row>
    <row r="93" spans="1:8">
      <c r="A93" s="10"/>
      <c r="B93" s="10"/>
      <c r="C93" s="10"/>
      <c r="D93" s="10"/>
      <c r="E93" s="10"/>
      <c r="H93" s="10"/>
    </row>
    <row r="94" spans="1:8">
      <c r="A94" s="10"/>
      <c r="B94" s="10"/>
      <c r="C94" s="10"/>
      <c r="D94" s="10"/>
      <c r="E94" s="10"/>
      <c r="H94" s="10"/>
    </row>
    <row r="95" spans="1:8">
      <c r="A95" s="10"/>
      <c r="B95" s="10"/>
      <c r="C95" s="10"/>
      <c r="D95" s="10"/>
      <c r="E95" s="10"/>
      <c r="H95" s="10"/>
    </row>
    <row r="96" spans="1:8">
      <c r="A96" s="10"/>
      <c r="B96" s="10"/>
      <c r="C96" s="10"/>
      <c r="D96" s="10"/>
      <c r="E96" s="10"/>
      <c r="H96" s="10"/>
    </row>
    <row r="97" spans="1:8">
      <c r="A97" s="10"/>
      <c r="B97" s="10"/>
      <c r="C97" s="10"/>
      <c r="D97" s="10"/>
      <c r="E97" s="10"/>
      <c r="H97" s="10"/>
    </row>
    <row r="98" spans="1:8">
      <c r="A98" s="10"/>
      <c r="B98" s="10"/>
      <c r="C98" s="10"/>
      <c r="D98" s="10"/>
      <c r="E98" s="10"/>
      <c r="H98" s="10"/>
    </row>
    <row r="99" spans="1:8">
      <c r="A99" s="10"/>
      <c r="B99" s="10"/>
      <c r="C99" s="10"/>
      <c r="D99" s="10"/>
      <c r="E99" s="10"/>
      <c r="H99" s="10"/>
    </row>
    <row r="100" spans="1:8">
      <c r="A100" s="10"/>
      <c r="B100" s="10"/>
      <c r="C100" s="10"/>
      <c r="D100" s="10"/>
      <c r="E100" s="10"/>
      <c r="H100" s="10"/>
    </row>
    <row r="101" spans="1:8">
      <c r="A101" s="10"/>
      <c r="B101" s="10"/>
      <c r="C101" s="10"/>
      <c r="D101" s="10"/>
      <c r="E101" s="10"/>
      <c r="H101" s="10"/>
    </row>
  </sheetData>
  <sheetProtection password="C765" sheet="1" objects="1" scenarios="1" formatColumns="0" formatRows="0"/>
  <customSheetViews>
    <customSheetView guid="{3687FC8B-D0CB-43C9-8478-35DEF022FA39}" showPageBreaks="1" fitToPage="1" printArea="1" view="pageLayout">
      <selection activeCell="H38" sqref="H38"/>
      <pageMargins left="0.7" right="2.7377083333333334" top="0.6127083333333333" bottom="0.75" header="0.25" footer="0.3"/>
      <printOptions verticalCentered="1"/>
      <pageSetup scale="34"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3">
    <mergeCell ref="C1:E1"/>
    <mergeCell ref="A1:B1"/>
    <mergeCell ref="F1:K1"/>
    <mergeCell ref="A31:K31"/>
    <mergeCell ref="C7:K7"/>
    <mergeCell ref="A21:K21"/>
    <mergeCell ref="A2:K2"/>
    <mergeCell ref="A3:K3"/>
    <mergeCell ref="A6:K6"/>
    <mergeCell ref="A22:K22"/>
    <mergeCell ref="A26:K26"/>
    <mergeCell ref="A4:K4"/>
    <mergeCell ref="A5:K5"/>
  </mergeCells>
  <conditionalFormatting sqref="B19:B20 B7:B17">
    <cfRule type="containsBlanks" dxfId="47" priority="21">
      <formula>LEN(TRIM(B7))=0</formula>
    </cfRule>
  </conditionalFormatting>
  <conditionalFormatting sqref="D23 D27">
    <cfRule type="containsBlanks" dxfId="46" priority="16">
      <formula>LEN(TRIM(D23))=0</formula>
    </cfRule>
  </conditionalFormatting>
  <conditionalFormatting sqref="C8:H8">
    <cfRule type="containsBlanks" dxfId="45" priority="24">
      <formula>LEN(TRIM(C8))=0</formula>
    </cfRule>
  </conditionalFormatting>
  <conditionalFormatting sqref="B18">
    <cfRule type="containsBlanks" dxfId="44" priority="9">
      <formula>LEN(TRIM(B18))=0</formula>
    </cfRule>
  </conditionalFormatting>
  <conditionalFormatting sqref="I8">
    <cfRule type="containsBlanks" dxfId="43" priority="8">
      <formula>LEN(TRIM(I8))=0</formula>
    </cfRule>
  </conditionalFormatting>
  <conditionalFormatting sqref="J8:K8">
    <cfRule type="containsBlanks" dxfId="42" priority="7">
      <formula>LEN(TRIM(J8))=0</formula>
    </cfRule>
  </conditionalFormatting>
  <conditionalFormatting sqref="B23">
    <cfRule type="containsBlanks" dxfId="41" priority="6">
      <formula>LEN(TRIM(B23))=0</formula>
    </cfRule>
  </conditionalFormatting>
  <conditionalFormatting sqref="B27">
    <cfRule type="containsBlanks" dxfId="40" priority="5">
      <formula>LEN(TRIM(B27))=0</formula>
    </cfRule>
  </conditionalFormatting>
  <conditionalFormatting sqref="B25">
    <cfRule type="containsBlanks" dxfId="39" priority="4">
      <formula>LEN(TRIM(B25))=0</formula>
    </cfRule>
  </conditionalFormatting>
  <conditionalFormatting sqref="B29">
    <cfRule type="containsBlanks" dxfId="38" priority="3">
      <formula>LEN(TRIM(B29))=0</formula>
    </cfRule>
  </conditionalFormatting>
  <conditionalFormatting sqref="B28">
    <cfRule type="containsBlanks" dxfId="37" priority="2">
      <formula>LEN(TRIM(B28))=0</formula>
    </cfRule>
  </conditionalFormatting>
  <conditionalFormatting sqref="B24">
    <cfRule type="containsBlanks" dxfId="36" priority="1">
      <formula>LEN(TRIM(B24))=0</formula>
    </cfRule>
  </conditionalFormatting>
  <dataValidations xWindow="814" yWindow="683" count="6">
    <dataValidation type="textLength" allowBlank="1" showInputMessage="1" showErrorMessage="1" error="Please enter a 10 digit phone number." prompt="Please enter a 10 digit phone number." sqref="B18 B28 B24">
      <formula1>10</formula1>
      <formula2>10</formula2>
    </dataValidation>
    <dataValidation type="textLength" allowBlank="1" showInputMessage="1" showErrorMessage="1" errorTitle="5 digits" error="Please enter a 5 digit zip code." prompt="Please enter a 5 digit zip code." sqref="B17">
      <formula1>5</formula1>
      <formula2>5</formula2>
    </dataValidation>
    <dataValidation type="textLength" allowBlank="1" showInputMessage="1" showErrorMessage="1" errorTitle="10 characters" error="The PID must be 10 digits long." prompt="PID must be 10 digits long. If multiple PIDS, please continue entering in the cells to the right." sqref="B8">
      <formula1>10</formula1>
      <formula2>10</formula2>
    </dataValidation>
    <dataValidation type="textLength" allowBlank="1" showInputMessage="1" showErrorMessage="1" errorTitle="10 characters" error="The PID must be 10 digits long." prompt="PID must be 10 digits long." sqref="C8:K8">
      <formula1>10</formula1>
      <formula2>10</formula2>
    </dataValidation>
    <dataValidation type="date" allowBlank="1" showInputMessage="1" showErrorMessage="1" error="Please enter a date in CY 2017." prompt="mm/dd/yyyy" sqref="D23 D27">
      <formula1>42736</formula1>
      <formula2>43100</formula2>
    </dataValidation>
    <dataValidation type="custom" allowBlank="1" showErrorMessage="1" error="Please provide a valid email address." sqref="B25 B29 B20">
      <formula1>AND(FIND("@",B20),FIND(".",B20),ISERROR(FIND(" ",B20)))</formula1>
    </dataValidation>
  </dataValidations>
  <printOptions verticalCentered="1"/>
  <pageMargins left="0.49541666666666667" right="0.25" top="0.29791666666666666" bottom="0.75" header="0.3" footer="0.3"/>
  <pageSetup scale="68" orientation="landscape" r:id="rId2"/>
  <drawing r:id="rId3"/>
  <legacyDrawing r:id="rId4"/>
  <controls>
    <mc:AlternateContent xmlns:mc="http://schemas.openxmlformats.org/markup-compatibility/2006">
      <mc:Choice Requires="x14">
        <control shapeId="2049" r:id="rId5" name="VerifyOverview">
          <controlPr defaultSize="0" autoLine="0" r:id="rId6">
            <anchor>
              <from>
                <xdr:col>1</xdr:col>
                <xdr:colOff>2343150</xdr:colOff>
                <xdr:row>30</xdr:row>
                <xdr:rowOff>123825</xdr:rowOff>
              </from>
              <to>
                <xdr:col>5</xdr:col>
                <xdr:colOff>9525</xdr:colOff>
                <xdr:row>31</xdr:row>
                <xdr:rowOff>28575</xdr:rowOff>
              </to>
            </anchor>
          </controlPr>
        </control>
      </mc:Choice>
      <mc:Fallback>
        <control shapeId="2049" r:id="rId5" name="VerifyOverview"/>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tabColor theme="5"/>
    <pageSetUpPr fitToPage="1"/>
  </sheetPr>
  <dimension ref="A1:R77"/>
  <sheetViews>
    <sheetView zoomScaleNormal="100" workbookViewId="0">
      <selection activeCell="A4" sqref="A4:K4"/>
    </sheetView>
  </sheetViews>
  <sheetFormatPr defaultRowHeight="15.75"/>
  <cols>
    <col min="1" max="1" width="41.28515625" style="39" customWidth="1"/>
    <col min="2" max="2" width="40.5703125" style="39" customWidth="1"/>
    <col min="3" max="3" width="58.42578125" style="60" customWidth="1"/>
    <col min="4" max="4" width="8.42578125" style="37" customWidth="1"/>
    <col min="5" max="5" width="24.140625" style="103" customWidth="1"/>
    <col min="6" max="6" width="9.140625" style="77"/>
    <col min="7" max="12" width="9.140625" style="38"/>
    <col min="13" max="16384" width="9.140625" style="39"/>
  </cols>
  <sheetData>
    <row r="1" spans="1:18" s="10" customFormat="1" ht="85.5" customHeight="1">
      <c r="A1" s="175" t="s">
        <v>118</v>
      </c>
      <c r="B1" s="175"/>
      <c r="C1" s="175"/>
      <c r="D1" s="175"/>
      <c r="E1" s="175"/>
      <c r="F1" s="140"/>
      <c r="G1" s="112"/>
      <c r="H1" s="112"/>
      <c r="I1" s="112"/>
      <c r="J1" s="112"/>
      <c r="K1" s="112"/>
      <c r="L1" s="16"/>
      <c r="M1" s="16"/>
      <c r="N1" s="16"/>
      <c r="O1" s="16"/>
      <c r="P1" s="16"/>
      <c r="Q1" s="16"/>
      <c r="R1" s="16"/>
    </row>
    <row r="2" spans="1:18" s="61" customFormat="1" ht="38.25" customHeight="1" thickBot="1">
      <c r="A2" s="205" t="s">
        <v>130</v>
      </c>
      <c r="B2" s="205"/>
      <c r="C2" s="205"/>
      <c r="D2" s="205"/>
      <c r="E2" s="205"/>
      <c r="F2" s="70"/>
      <c r="G2" s="62"/>
      <c r="H2" s="62"/>
      <c r="I2" s="62"/>
      <c r="J2" s="62"/>
      <c r="K2" s="62"/>
      <c r="L2" s="62"/>
    </row>
    <row r="3" spans="1:18" s="61" customFormat="1" ht="19.5" thickBot="1">
      <c r="A3" s="203" t="s">
        <v>47</v>
      </c>
      <c r="B3" s="204"/>
      <c r="C3" s="156"/>
      <c r="D3" s="157"/>
      <c r="E3" s="158"/>
      <c r="F3" s="70"/>
      <c r="G3" s="62"/>
      <c r="H3" s="62"/>
      <c r="I3" s="62"/>
      <c r="J3" s="62"/>
      <c r="K3" s="62"/>
      <c r="L3" s="62"/>
    </row>
    <row r="4" spans="1:18" s="61" customFormat="1" ht="18" customHeight="1">
      <c r="A4" s="63" t="s">
        <v>69</v>
      </c>
      <c r="B4" s="118">
        <f>'38D_Overview'!B7</f>
        <v>0</v>
      </c>
      <c r="C4" s="159"/>
      <c r="D4" s="160"/>
      <c r="E4" s="161"/>
      <c r="F4" s="70"/>
      <c r="G4" s="62"/>
      <c r="H4" s="62"/>
      <c r="I4" s="62"/>
      <c r="J4" s="62"/>
      <c r="K4" s="62"/>
      <c r="L4" s="62"/>
    </row>
    <row r="5" spans="1:18" s="61" customFormat="1" ht="16.5" customHeight="1">
      <c r="A5" s="64" t="s">
        <v>45</v>
      </c>
      <c r="B5" s="65"/>
      <c r="C5" s="162"/>
      <c r="D5" s="160"/>
      <c r="E5" s="161"/>
      <c r="F5" s="70"/>
      <c r="G5" s="62"/>
      <c r="H5" s="62"/>
      <c r="I5" s="62"/>
      <c r="J5" s="62"/>
      <c r="K5" s="62"/>
      <c r="L5" s="62"/>
    </row>
    <row r="6" spans="1:18" s="61" customFormat="1" ht="16.5" customHeight="1">
      <c r="A6" s="64" t="s">
        <v>77</v>
      </c>
      <c r="B6" s="155">
        <f>Number_of_Rooms*365</f>
        <v>0</v>
      </c>
      <c r="C6" s="162"/>
      <c r="D6" s="160"/>
      <c r="E6" s="161"/>
      <c r="F6" s="70"/>
      <c r="G6" s="62"/>
      <c r="H6" s="62"/>
      <c r="I6" s="62"/>
      <c r="J6" s="62"/>
      <c r="K6" s="62"/>
      <c r="L6" s="62"/>
    </row>
    <row r="7" spans="1:18" s="61" customFormat="1" ht="18" customHeight="1">
      <c r="A7" s="64" t="s">
        <v>46</v>
      </c>
      <c r="B7" s="119"/>
      <c r="C7" s="163"/>
      <c r="D7" s="160"/>
      <c r="E7" s="161"/>
      <c r="F7" s="70"/>
      <c r="G7" s="62"/>
      <c r="H7" s="62"/>
      <c r="I7" s="62"/>
      <c r="J7" s="62"/>
      <c r="K7" s="62"/>
      <c r="L7" s="62"/>
    </row>
    <row r="8" spans="1:18" s="61" customFormat="1" ht="18" customHeight="1">
      <c r="A8" s="115" t="s">
        <v>119</v>
      </c>
      <c r="B8" s="155">
        <f>Number_of_Rooms*365*Percent_Occupancy</f>
        <v>0</v>
      </c>
      <c r="C8" s="163"/>
      <c r="D8" s="160"/>
      <c r="E8" s="161"/>
      <c r="F8" s="70"/>
      <c r="G8" s="62"/>
      <c r="H8" s="62"/>
      <c r="I8" s="62"/>
      <c r="J8" s="62"/>
      <c r="K8" s="62"/>
      <c r="L8" s="62"/>
    </row>
    <row r="9" spans="1:18" s="61" customFormat="1" ht="18.75" customHeight="1" thickBot="1">
      <c r="A9" s="66" t="s">
        <v>75</v>
      </c>
      <c r="B9" s="116"/>
      <c r="C9" s="164"/>
      <c r="D9" s="160"/>
      <c r="E9" s="161"/>
      <c r="F9" s="70"/>
      <c r="G9" s="62"/>
      <c r="H9" s="62"/>
      <c r="I9" s="62"/>
      <c r="J9" s="62"/>
      <c r="K9" s="62"/>
      <c r="L9" s="62"/>
    </row>
    <row r="10" spans="1:18" s="61" customFormat="1" ht="16.5" customHeight="1" thickBot="1">
      <c r="A10" s="67" t="s">
        <v>76</v>
      </c>
      <c r="B10" s="117">
        <f>B9*B7</f>
        <v>0</v>
      </c>
      <c r="C10" s="164"/>
      <c r="D10" s="160"/>
      <c r="E10" s="161"/>
      <c r="F10" s="70"/>
      <c r="G10" s="62"/>
      <c r="H10" s="62"/>
      <c r="I10" s="62"/>
      <c r="J10" s="62"/>
      <c r="K10" s="62"/>
      <c r="L10" s="62"/>
    </row>
    <row r="11" spans="1:18" s="61" customFormat="1" ht="19.5" thickBot="1">
      <c r="A11" s="203" t="s">
        <v>27</v>
      </c>
      <c r="B11" s="204"/>
      <c r="C11" s="156"/>
      <c r="D11" s="157"/>
      <c r="E11" s="158"/>
      <c r="F11" s="70"/>
      <c r="G11" s="62"/>
      <c r="H11" s="62"/>
      <c r="I11" s="62"/>
      <c r="J11" s="62"/>
      <c r="K11" s="62"/>
      <c r="L11" s="62"/>
    </row>
    <row r="12" spans="1:18" s="61" customFormat="1">
      <c r="A12" s="68"/>
      <c r="B12" s="69" t="s">
        <v>22</v>
      </c>
      <c r="C12" s="164"/>
      <c r="D12" s="157"/>
      <c r="E12" s="158"/>
      <c r="F12" s="70"/>
      <c r="G12" s="62"/>
      <c r="H12" s="62"/>
      <c r="I12" s="62"/>
      <c r="J12" s="62"/>
      <c r="K12" s="62"/>
      <c r="L12" s="62"/>
    </row>
    <row r="13" spans="1:18" s="61" customFormat="1">
      <c r="A13" s="40" t="s">
        <v>54</v>
      </c>
      <c r="B13" s="98"/>
      <c r="C13" s="164"/>
      <c r="D13" s="157"/>
      <c r="E13" s="158"/>
      <c r="F13" s="70"/>
      <c r="G13" s="62"/>
      <c r="H13" s="62"/>
      <c r="I13" s="62"/>
      <c r="J13" s="62"/>
      <c r="K13" s="62"/>
      <c r="L13" s="62"/>
    </row>
    <row r="14" spans="1:18" s="61" customFormat="1">
      <c r="A14" s="40" t="s">
        <v>0</v>
      </c>
      <c r="B14" s="98"/>
      <c r="C14" s="164"/>
      <c r="D14" s="165"/>
      <c r="E14" s="156"/>
      <c r="F14" s="70"/>
      <c r="G14" s="62"/>
      <c r="H14" s="62"/>
      <c r="I14" s="62"/>
      <c r="J14" s="62"/>
      <c r="K14" s="62"/>
      <c r="L14" s="62"/>
    </row>
    <row r="15" spans="1:18" s="61" customFormat="1">
      <c r="A15" s="40" t="s">
        <v>1</v>
      </c>
      <c r="B15" s="98"/>
      <c r="C15" s="164"/>
      <c r="D15" s="166"/>
      <c r="E15" s="156"/>
      <c r="F15" s="70"/>
      <c r="G15" s="62"/>
      <c r="H15" s="62"/>
      <c r="I15" s="62"/>
      <c r="J15" s="62"/>
      <c r="K15" s="62"/>
      <c r="L15" s="62"/>
    </row>
    <row r="16" spans="1:18" s="61" customFormat="1">
      <c r="A16" s="40" t="s">
        <v>2</v>
      </c>
      <c r="B16" s="98"/>
      <c r="C16" s="164"/>
      <c r="D16" s="166"/>
      <c r="E16" s="156"/>
      <c r="F16" s="70"/>
      <c r="G16" s="62"/>
      <c r="H16" s="70" t="s">
        <v>88</v>
      </c>
      <c r="I16" s="62"/>
      <c r="J16" s="62"/>
      <c r="K16" s="62"/>
      <c r="L16" s="62"/>
    </row>
    <row r="17" spans="1:12" s="61" customFormat="1">
      <c r="A17" s="40" t="s">
        <v>3</v>
      </c>
      <c r="B17" s="98"/>
      <c r="C17" s="55" t="s">
        <v>53</v>
      </c>
      <c r="D17" s="74"/>
      <c r="E17" s="100"/>
      <c r="F17" s="70">
        <f>IF(AND(Parking_Revenue&gt;0,D17&lt;1), 1,0)</f>
        <v>0</v>
      </c>
      <c r="G17" s="62"/>
      <c r="H17" s="70" t="s">
        <v>89</v>
      </c>
      <c r="I17" s="62"/>
      <c r="J17" s="62"/>
      <c r="K17" s="62"/>
      <c r="L17" s="62"/>
    </row>
    <row r="18" spans="1:12" s="61" customFormat="1" ht="15.75" customHeight="1">
      <c r="A18" s="40" t="s">
        <v>4</v>
      </c>
      <c r="B18" s="99"/>
      <c r="C18" s="202" t="s">
        <v>109</v>
      </c>
      <c r="D18" s="197"/>
      <c r="E18" s="198"/>
      <c r="F18" s="70"/>
      <c r="G18" s="62"/>
      <c r="H18" s="62"/>
      <c r="I18" s="62"/>
      <c r="J18" s="62"/>
      <c r="K18" s="62"/>
      <c r="L18" s="62"/>
    </row>
    <row r="19" spans="1:12" s="61" customFormat="1">
      <c r="A19" s="40" t="s">
        <v>71</v>
      </c>
      <c r="B19" s="106">
        <f>IF(Section1="Yes",'Section 1'!C24,0)</f>
        <v>0</v>
      </c>
      <c r="C19" s="95" t="s">
        <v>87</v>
      </c>
      <c r="D19" s="71"/>
      <c r="E19" s="153" t="s">
        <v>111</v>
      </c>
      <c r="F19" s="70">
        <f>IF(OR(Section1=0,(AND(Section1="Yes",Hotel_Operated_Shop_Revenue&lt;1))),1,0)</f>
        <v>1</v>
      </c>
      <c r="G19" s="70"/>
      <c r="H19" s="70"/>
      <c r="I19" s="62"/>
      <c r="J19" s="62"/>
      <c r="K19" s="62"/>
      <c r="L19" s="62"/>
    </row>
    <row r="20" spans="1:12" s="61" customFormat="1">
      <c r="A20" s="40" t="s">
        <v>5</v>
      </c>
      <c r="B20" s="106">
        <f>IF(Section2="Yes",'Section 2'!M25,0)</f>
        <v>0</v>
      </c>
      <c r="C20" s="95" t="s">
        <v>90</v>
      </c>
      <c r="D20" s="71"/>
      <c r="E20" s="153" t="s">
        <v>33</v>
      </c>
      <c r="F20" s="70">
        <f>IF(OR(Section2=0,AND(Section2="Yes",Leased_Space_Revenue&lt;1)),1,0)</f>
        <v>1</v>
      </c>
      <c r="G20" s="62"/>
      <c r="H20" s="62"/>
      <c r="I20" s="62"/>
      <c r="J20" s="62"/>
      <c r="K20" s="62"/>
      <c r="L20" s="62"/>
    </row>
    <row r="21" spans="1:12" s="61" customFormat="1" ht="31.5">
      <c r="A21" s="40" t="s">
        <v>55</v>
      </c>
      <c r="B21" s="106">
        <f>IF(Section3="Yes",'Section 3'!C24,0)</f>
        <v>0</v>
      </c>
      <c r="C21" s="95" t="s">
        <v>91</v>
      </c>
      <c r="D21" s="71"/>
      <c r="E21" s="153" t="s">
        <v>34</v>
      </c>
      <c r="F21" s="70">
        <f>IF(OR(Section3=0,AND(Section3="Yes",Food___Beverage_Other_Income&lt;1)),1,0)</f>
        <v>1</v>
      </c>
      <c r="G21" s="62"/>
      <c r="H21" s="62"/>
      <c r="I21" s="62"/>
      <c r="J21" s="62"/>
      <c r="K21" s="62"/>
      <c r="L21" s="62"/>
    </row>
    <row r="22" spans="1:12" s="61" customFormat="1">
      <c r="A22" s="42" t="s">
        <v>70</v>
      </c>
      <c r="B22" s="107">
        <f>IF(Section4="Yes",'Section 4'!C24,0)</f>
        <v>0</v>
      </c>
      <c r="C22" s="95" t="s">
        <v>115</v>
      </c>
      <c r="D22" s="71"/>
      <c r="E22" s="153" t="s">
        <v>35</v>
      </c>
      <c r="F22" s="70">
        <f>IF(OR(Section4=0,AND(Section4="Yes",Other_Revenue&lt;1)),1,0)</f>
        <v>1</v>
      </c>
      <c r="G22" s="62"/>
      <c r="H22" s="62"/>
      <c r="I22" s="62"/>
      <c r="J22" s="62"/>
      <c r="K22" s="62"/>
      <c r="L22" s="62"/>
    </row>
    <row r="23" spans="1:12" s="61" customFormat="1" ht="16.5" thickBot="1">
      <c r="A23" s="43" t="s">
        <v>6</v>
      </c>
      <c r="B23" s="108">
        <f>SUM(B13:B22)</f>
        <v>0</v>
      </c>
      <c r="C23" s="54"/>
      <c r="D23" s="41"/>
      <c r="E23" s="58"/>
      <c r="F23" s="70"/>
      <c r="G23" s="62"/>
      <c r="H23" s="62"/>
      <c r="I23" s="62"/>
      <c r="J23" s="62"/>
      <c r="K23" s="62"/>
      <c r="L23" s="62"/>
    </row>
    <row r="24" spans="1:12" s="61" customFormat="1" ht="19.5" thickBot="1">
      <c r="A24" s="203" t="s">
        <v>23</v>
      </c>
      <c r="B24" s="204"/>
      <c r="C24" s="52"/>
      <c r="D24" s="44"/>
      <c r="E24" s="58"/>
      <c r="F24" s="70"/>
      <c r="G24" s="62"/>
      <c r="H24" s="62"/>
      <c r="I24" s="62"/>
      <c r="J24" s="62"/>
      <c r="K24" s="62"/>
      <c r="L24" s="62"/>
    </row>
    <row r="25" spans="1:12" s="61" customFormat="1">
      <c r="A25" s="68"/>
      <c r="B25" s="69" t="s">
        <v>22</v>
      </c>
      <c r="C25" s="54"/>
      <c r="D25" s="44"/>
      <c r="E25" s="58"/>
      <c r="F25" s="70"/>
      <c r="G25" s="62"/>
      <c r="H25" s="62"/>
      <c r="I25" s="62"/>
      <c r="J25" s="62"/>
      <c r="K25" s="62"/>
      <c r="L25" s="62"/>
    </row>
    <row r="26" spans="1:12" s="61" customFormat="1">
      <c r="A26" s="40" t="s">
        <v>54</v>
      </c>
      <c r="B26" s="98"/>
      <c r="C26" s="53"/>
      <c r="D26" s="44"/>
      <c r="E26" s="58"/>
      <c r="F26" s="70"/>
      <c r="G26" s="62"/>
      <c r="H26" s="62"/>
      <c r="I26" s="62"/>
      <c r="J26" s="62"/>
      <c r="K26" s="62"/>
      <c r="L26" s="62"/>
    </row>
    <row r="27" spans="1:12" s="61" customFormat="1">
      <c r="A27" s="40" t="s">
        <v>7</v>
      </c>
      <c r="B27" s="98"/>
      <c r="C27" s="53"/>
      <c r="D27" s="44"/>
      <c r="E27" s="101"/>
      <c r="F27" s="70"/>
      <c r="G27" s="62"/>
      <c r="H27" s="62"/>
      <c r="I27" s="62"/>
      <c r="J27" s="62"/>
      <c r="K27" s="62"/>
      <c r="L27" s="62"/>
    </row>
    <row r="28" spans="1:12" s="61" customFormat="1">
      <c r="A28" s="40" t="s">
        <v>8</v>
      </c>
      <c r="B28" s="98"/>
      <c r="C28" s="53"/>
      <c r="D28" s="44"/>
      <c r="E28" s="101"/>
      <c r="F28" s="70"/>
      <c r="G28" s="62"/>
      <c r="H28" s="62"/>
      <c r="I28" s="62"/>
      <c r="J28" s="62"/>
      <c r="K28" s="62"/>
      <c r="L28" s="62"/>
    </row>
    <row r="29" spans="1:12" s="61" customFormat="1" ht="15.75" customHeight="1">
      <c r="A29" s="40" t="s">
        <v>2</v>
      </c>
      <c r="B29" s="99"/>
      <c r="C29" s="202" t="s">
        <v>109</v>
      </c>
      <c r="D29" s="197"/>
      <c r="E29" s="198"/>
      <c r="F29" s="70"/>
      <c r="G29" s="62"/>
      <c r="H29" s="62"/>
      <c r="I29" s="62"/>
      <c r="J29" s="62"/>
      <c r="K29" s="62"/>
      <c r="L29" s="62"/>
    </row>
    <row r="30" spans="1:12" s="61" customFormat="1">
      <c r="A30" s="40" t="s">
        <v>65</v>
      </c>
      <c r="B30" s="106">
        <f>IF(Section5="Yes",'Section 5'!C24,0)</f>
        <v>0</v>
      </c>
      <c r="C30" s="96" t="s">
        <v>93</v>
      </c>
      <c r="D30" s="71"/>
      <c r="E30" s="153" t="s">
        <v>36</v>
      </c>
      <c r="F30" s="70">
        <f>IF(OR(Section5=0,AND(Section5="Yes",Departmental_Other_Expenses&lt;1)),1,0)</f>
        <v>1</v>
      </c>
      <c r="G30" s="62"/>
      <c r="H30" s="62"/>
      <c r="I30" s="62"/>
      <c r="J30" s="62"/>
      <c r="K30" s="62"/>
      <c r="L30" s="62"/>
    </row>
    <row r="31" spans="1:12" s="61" customFormat="1">
      <c r="A31" s="40" t="s">
        <v>64</v>
      </c>
      <c r="B31" s="106">
        <f>IF(Section6="Yes",'Section 6'!C24,0)</f>
        <v>0</v>
      </c>
      <c r="C31" s="96" t="s">
        <v>94</v>
      </c>
      <c r="D31" s="71"/>
      <c r="E31" s="153" t="s">
        <v>74</v>
      </c>
      <c r="F31" s="70">
        <f>IF(OR(Section6=0,AND(Section6="Yes",Miscellaneous_Other_Expenses&lt;1)),1,0)</f>
        <v>1</v>
      </c>
      <c r="G31" s="62"/>
      <c r="H31" s="62"/>
      <c r="I31" s="62"/>
      <c r="J31" s="62"/>
      <c r="K31" s="62"/>
      <c r="L31" s="62"/>
    </row>
    <row r="32" spans="1:12" s="61" customFormat="1" ht="16.5" thickBot="1">
      <c r="A32" s="43" t="s">
        <v>9</v>
      </c>
      <c r="B32" s="108">
        <f>SUM(B26:B31)</f>
        <v>0</v>
      </c>
      <c r="C32" s="54"/>
      <c r="D32" s="44"/>
      <c r="E32" s="101"/>
      <c r="F32" s="70"/>
      <c r="G32" s="62"/>
      <c r="H32" s="62"/>
      <c r="I32" s="62"/>
      <c r="J32" s="62"/>
      <c r="K32" s="62"/>
      <c r="L32" s="62"/>
    </row>
    <row r="33" spans="1:12" s="61" customFormat="1" ht="19.5" thickBot="1">
      <c r="A33" s="203" t="s">
        <v>67</v>
      </c>
      <c r="B33" s="204"/>
      <c r="C33" s="52"/>
      <c r="D33" s="44"/>
      <c r="E33" s="101"/>
      <c r="F33" s="70"/>
      <c r="G33" s="62"/>
      <c r="H33" s="62"/>
      <c r="I33" s="62"/>
      <c r="J33" s="62"/>
      <c r="K33" s="62"/>
      <c r="L33" s="62"/>
    </row>
    <row r="34" spans="1:12" s="61" customFormat="1">
      <c r="A34" s="68"/>
      <c r="B34" s="69" t="s">
        <v>22</v>
      </c>
      <c r="C34" s="54"/>
      <c r="D34" s="44"/>
      <c r="E34" s="101"/>
      <c r="F34" s="70"/>
      <c r="G34" s="62"/>
      <c r="H34" s="62"/>
      <c r="I34" s="62"/>
      <c r="J34" s="62"/>
      <c r="K34" s="62"/>
      <c r="L34" s="62"/>
    </row>
    <row r="35" spans="1:12" s="61" customFormat="1">
      <c r="A35" s="40" t="s">
        <v>56</v>
      </c>
      <c r="B35" s="98"/>
      <c r="C35" s="53"/>
      <c r="D35" s="44"/>
      <c r="E35" s="101"/>
      <c r="F35" s="70"/>
      <c r="G35" s="62"/>
      <c r="H35" s="62"/>
      <c r="I35" s="62"/>
      <c r="J35" s="62"/>
      <c r="K35" s="62"/>
      <c r="L35" s="62"/>
    </row>
    <row r="36" spans="1:12" s="61" customFormat="1">
      <c r="A36" s="40" t="s">
        <v>10</v>
      </c>
      <c r="B36" s="98"/>
      <c r="C36" s="199" t="s">
        <v>149</v>
      </c>
      <c r="D36" s="201"/>
      <c r="E36" s="201"/>
      <c r="F36" s="70"/>
      <c r="G36" s="62"/>
      <c r="H36" s="62"/>
      <c r="I36" s="62"/>
      <c r="J36" s="62"/>
      <c r="K36" s="62"/>
      <c r="L36" s="62"/>
    </row>
    <row r="37" spans="1:12" s="61" customFormat="1">
      <c r="A37" s="40" t="s">
        <v>11</v>
      </c>
      <c r="B37" s="98"/>
      <c r="C37" s="56"/>
      <c r="D37" s="44"/>
      <c r="E37" s="101"/>
      <c r="F37" s="70"/>
      <c r="G37" s="62"/>
      <c r="H37" s="62"/>
      <c r="I37" s="62"/>
      <c r="J37" s="62"/>
      <c r="K37" s="62"/>
      <c r="L37" s="62"/>
    </row>
    <row r="38" spans="1:12" s="61" customFormat="1">
      <c r="A38" s="40" t="s">
        <v>73</v>
      </c>
      <c r="B38" s="98"/>
      <c r="C38" s="56"/>
      <c r="D38" s="44"/>
      <c r="E38" s="101"/>
      <c r="F38" s="70"/>
      <c r="G38" s="62"/>
      <c r="H38" s="62"/>
      <c r="I38" s="62"/>
      <c r="J38" s="62"/>
      <c r="K38" s="62"/>
      <c r="L38" s="62"/>
    </row>
    <row r="39" spans="1:12" s="61" customFormat="1">
      <c r="A39" s="40" t="s">
        <v>72</v>
      </c>
      <c r="B39" s="98"/>
      <c r="C39" s="56"/>
      <c r="D39" s="44"/>
      <c r="E39" s="101"/>
      <c r="F39" s="70"/>
      <c r="G39" s="62"/>
      <c r="H39" s="62"/>
      <c r="I39" s="62"/>
      <c r="J39" s="62"/>
      <c r="K39" s="62"/>
      <c r="L39" s="62"/>
    </row>
    <row r="40" spans="1:12" s="61" customFormat="1" ht="16.5" thickBot="1">
      <c r="A40" s="43" t="s">
        <v>12</v>
      </c>
      <c r="B40" s="108">
        <f>SUM(B35:B39)</f>
        <v>0</v>
      </c>
      <c r="C40" s="57"/>
      <c r="D40" s="44"/>
      <c r="E40" s="101"/>
      <c r="F40" s="70"/>
      <c r="G40" s="62"/>
      <c r="H40" s="62"/>
      <c r="I40" s="62"/>
      <c r="J40" s="62"/>
      <c r="K40" s="62"/>
      <c r="L40" s="62"/>
    </row>
    <row r="41" spans="1:12" s="61" customFormat="1" ht="19.5" thickBot="1">
      <c r="A41" s="203" t="s">
        <v>24</v>
      </c>
      <c r="B41" s="204"/>
      <c r="C41" s="58"/>
      <c r="D41" s="44"/>
      <c r="E41" s="101"/>
      <c r="F41" s="70"/>
      <c r="G41" s="62"/>
      <c r="H41" s="62"/>
      <c r="I41" s="62"/>
      <c r="J41" s="62"/>
      <c r="K41" s="62"/>
      <c r="L41" s="62"/>
    </row>
    <row r="42" spans="1:12" s="61" customFormat="1">
      <c r="A42" s="63"/>
      <c r="B42" s="69" t="s">
        <v>22</v>
      </c>
      <c r="C42" s="57"/>
      <c r="D42" s="44"/>
      <c r="E42" s="101"/>
      <c r="F42" s="70"/>
      <c r="G42" s="62"/>
      <c r="H42" s="62"/>
      <c r="I42" s="62"/>
      <c r="J42" s="62"/>
      <c r="K42" s="62"/>
      <c r="L42" s="62"/>
    </row>
    <row r="43" spans="1:12" s="61" customFormat="1">
      <c r="A43" s="40" t="s">
        <v>57</v>
      </c>
      <c r="B43" s="98"/>
      <c r="C43" s="199" t="s">
        <v>150</v>
      </c>
      <c r="D43" s="200"/>
      <c r="E43" s="200"/>
      <c r="F43" s="70"/>
      <c r="G43" s="62"/>
      <c r="H43" s="62"/>
      <c r="I43" s="62"/>
      <c r="J43" s="62"/>
      <c r="K43" s="62"/>
      <c r="L43" s="62"/>
    </row>
    <row r="44" spans="1:12" s="61" customFormat="1">
      <c r="A44" s="40" t="s">
        <v>58</v>
      </c>
      <c r="B44" s="98"/>
      <c r="C44" s="199" t="s">
        <v>150</v>
      </c>
      <c r="D44" s="200"/>
      <c r="E44" s="200"/>
      <c r="F44" s="70"/>
      <c r="G44" s="62"/>
      <c r="H44" s="62"/>
      <c r="I44" s="62"/>
      <c r="J44" s="62"/>
      <c r="K44" s="62"/>
      <c r="L44" s="62"/>
    </row>
    <row r="45" spans="1:12" s="61" customFormat="1">
      <c r="A45" s="40" t="s">
        <v>13</v>
      </c>
      <c r="B45" s="98"/>
      <c r="C45" s="56"/>
      <c r="D45" s="44"/>
      <c r="E45" s="101"/>
      <c r="F45" s="70"/>
      <c r="G45" s="62"/>
      <c r="H45" s="62"/>
      <c r="I45" s="62"/>
      <c r="J45" s="62"/>
      <c r="K45" s="62"/>
      <c r="L45" s="62"/>
    </row>
    <row r="46" spans="1:12" s="61" customFormat="1">
      <c r="A46" s="40" t="s">
        <v>63</v>
      </c>
      <c r="B46" s="98"/>
      <c r="C46" s="56"/>
      <c r="D46" s="44"/>
      <c r="E46" s="101"/>
      <c r="F46" s="70"/>
      <c r="G46" s="62"/>
      <c r="H46" s="62"/>
      <c r="I46" s="62"/>
      <c r="J46" s="62"/>
      <c r="K46" s="62"/>
      <c r="L46" s="62"/>
    </row>
    <row r="47" spans="1:12" s="61" customFormat="1">
      <c r="A47" s="40" t="s">
        <v>66</v>
      </c>
      <c r="B47" s="98"/>
      <c r="C47" s="196" t="s">
        <v>109</v>
      </c>
      <c r="D47" s="197"/>
      <c r="E47" s="198"/>
      <c r="F47" s="70"/>
      <c r="G47" s="62"/>
      <c r="H47" s="62"/>
      <c r="I47" s="62"/>
      <c r="J47" s="62"/>
      <c r="K47" s="62"/>
      <c r="L47" s="62"/>
    </row>
    <row r="48" spans="1:12" s="61" customFormat="1">
      <c r="A48" s="40" t="s">
        <v>14</v>
      </c>
      <c r="B48" s="106">
        <f>IF(D48="Yes",'Section 7'!C24,0)</f>
        <v>0</v>
      </c>
      <c r="C48" s="96" t="s">
        <v>120</v>
      </c>
      <c r="D48" s="71"/>
      <c r="E48" s="153" t="s">
        <v>83</v>
      </c>
      <c r="F48" s="140">
        <f>IF(OR(Section7=0,AND(Section7="Yes",Other&lt;1)),1,0)</f>
        <v>1</v>
      </c>
      <c r="G48" s="62"/>
      <c r="H48" s="62"/>
      <c r="I48" s="62"/>
      <c r="J48" s="62"/>
      <c r="K48" s="62"/>
      <c r="L48" s="62"/>
    </row>
    <row r="49" spans="1:12" s="61" customFormat="1" ht="16.5" thickBot="1">
      <c r="A49" s="72" t="s">
        <v>15</v>
      </c>
      <c r="B49" s="108">
        <f>SUM(B43:B48)</f>
        <v>0</v>
      </c>
      <c r="F49" s="70"/>
      <c r="G49" s="62"/>
      <c r="H49" s="62"/>
      <c r="I49" s="62"/>
      <c r="J49" s="62"/>
      <c r="K49" s="62"/>
      <c r="L49" s="62"/>
    </row>
    <row r="50" spans="1:12" s="61" customFormat="1" ht="19.5" thickBot="1">
      <c r="A50" s="203" t="s">
        <v>68</v>
      </c>
      <c r="B50" s="204"/>
      <c r="C50" s="54"/>
      <c r="D50" s="44"/>
      <c r="E50" s="101"/>
      <c r="F50" s="70"/>
      <c r="G50" s="62"/>
      <c r="H50" s="62"/>
      <c r="I50" s="62"/>
      <c r="J50" s="62"/>
      <c r="K50" s="62"/>
      <c r="L50" s="62"/>
    </row>
    <row r="51" spans="1:12" s="61" customFormat="1">
      <c r="A51" s="63"/>
      <c r="B51" s="73" t="s">
        <v>22</v>
      </c>
      <c r="C51" s="202" t="s">
        <v>109</v>
      </c>
      <c r="D51" s="197"/>
      <c r="E51" s="198"/>
      <c r="F51" s="70"/>
      <c r="G51" s="62"/>
      <c r="H51" s="62"/>
      <c r="I51" s="62"/>
      <c r="J51" s="62"/>
      <c r="K51" s="62"/>
      <c r="L51" s="62"/>
    </row>
    <row r="52" spans="1:12" s="61" customFormat="1" ht="15.75" customHeight="1">
      <c r="A52" s="40" t="s">
        <v>78</v>
      </c>
      <c r="B52" s="106">
        <f>IF(D52="Yes",'Section 8'!F24,0)</f>
        <v>0</v>
      </c>
      <c r="C52" s="97" t="s">
        <v>92</v>
      </c>
      <c r="D52" s="71"/>
      <c r="E52" s="154" t="s">
        <v>121</v>
      </c>
      <c r="F52" s="140">
        <f>IF(OR(Section8=0,AND(Section8="Yes",Capital_Expenditures&lt;1)),1,0)</f>
        <v>1</v>
      </c>
      <c r="G52" s="62"/>
      <c r="H52" s="62"/>
      <c r="I52" s="62"/>
      <c r="J52" s="62"/>
      <c r="K52" s="62"/>
      <c r="L52" s="62"/>
    </row>
    <row r="53" spans="1:12" s="61" customFormat="1">
      <c r="A53" s="40" t="s">
        <v>48</v>
      </c>
      <c r="B53" s="98"/>
      <c r="C53" s="194" t="s">
        <v>150</v>
      </c>
      <c r="D53" s="195"/>
      <c r="E53" s="195"/>
      <c r="F53" s="70"/>
      <c r="G53"/>
      <c r="H53" s="62"/>
      <c r="I53" s="62"/>
      <c r="J53" s="62"/>
      <c r="K53" s="62"/>
      <c r="L53" s="62"/>
    </row>
    <row r="54" spans="1:12" s="61" customFormat="1">
      <c r="A54" s="40" t="s">
        <v>49</v>
      </c>
      <c r="B54" s="98"/>
      <c r="E54" s="102"/>
      <c r="F54" s="70"/>
      <c r="G54" s="62"/>
      <c r="H54" s="62"/>
      <c r="I54" s="62"/>
      <c r="J54" s="62"/>
      <c r="K54" s="62"/>
      <c r="L54" s="62"/>
    </row>
    <row r="55" spans="1:12" s="61" customFormat="1">
      <c r="A55" s="40" t="s">
        <v>50</v>
      </c>
      <c r="B55" s="98"/>
      <c r="C55" s="53"/>
      <c r="D55" s="44"/>
      <c r="E55" s="101"/>
      <c r="F55" s="70"/>
      <c r="G55" s="62"/>
      <c r="H55" s="62"/>
      <c r="I55" s="62"/>
      <c r="J55" s="62"/>
      <c r="K55" s="62"/>
      <c r="L55" s="62"/>
    </row>
    <row r="56" spans="1:12" s="61" customFormat="1" ht="16.5" thickBot="1">
      <c r="A56" s="72" t="s">
        <v>51</v>
      </c>
      <c r="B56" s="108">
        <f>SUM(B52:B55)</f>
        <v>0</v>
      </c>
      <c r="C56" s="53"/>
      <c r="D56" s="44"/>
      <c r="E56" s="101"/>
      <c r="F56" s="70"/>
      <c r="G56" s="62"/>
      <c r="H56" s="62"/>
      <c r="I56" s="62"/>
      <c r="J56" s="62"/>
      <c r="K56" s="62"/>
      <c r="L56" s="62"/>
    </row>
    <row r="57" spans="1:12" s="61" customFormat="1" ht="19.5" thickBot="1">
      <c r="A57" s="203" t="s">
        <v>52</v>
      </c>
      <c r="B57" s="204"/>
      <c r="C57" s="54"/>
      <c r="D57" s="44"/>
      <c r="E57" s="101"/>
      <c r="F57" s="70"/>
      <c r="G57" s="62"/>
      <c r="H57" s="62"/>
      <c r="I57" s="62"/>
      <c r="J57" s="62"/>
      <c r="K57" s="62"/>
      <c r="L57" s="62"/>
    </row>
    <row r="58" spans="1:12" s="61" customFormat="1" ht="16.5" thickBot="1">
      <c r="A58" s="45" t="s">
        <v>52</v>
      </c>
      <c r="B58" s="109">
        <f>Total_Revenue-Total_Expense-Total_Unallocated-Total_Fixed-Total_Other</f>
        <v>0</v>
      </c>
      <c r="C58" s="52"/>
      <c r="D58" s="44"/>
      <c r="E58" s="101"/>
      <c r="F58" s="70"/>
      <c r="G58" s="62"/>
      <c r="H58" s="62"/>
      <c r="I58" s="62"/>
      <c r="J58" s="62"/>
      <c r="K58" s="62"/>
      <c r="L58" s="62"/>
    </row>
    <row r="59" spans="1:12" s="61" customFormat="1">
      <c r="C59" s="59"/>
      <c r="D59" s="44"/>
      <c r="E59" s="101"/>
      <c r="F59" s="70"/>
      <c r="G59" s="62"/>
      <c r="H59" s="62"/>
      <c r="I59" s="62"/>
      <c r="J59" s="62"/>
      <c r="K59" s="62"/>
      <c r="L59" s="62"/>
    </row>
    <row r="60" spans="1:12" s="61" customFormat="1" ht="50.25" customHeight="1">
      <c r="A60" s="39"/>
      <c r="B60" s="39"/>
      <c r="C60" s="60"/>
      <c r="D60" s="44"/>
      <c r="E60" s="101"/>
      <c r="F60" s="70"/>
      <c r="G60" s="62"/>
      <c r="H60" s="62"/>
      <c r="I60" s="62"/>
      <c r="J60" s="62"/>
      <c r="K60" s="62"/>
      <c r="L60" s="62"/>
    </row>
    <row r="64" spans="1:12">
      <c r="B64" s="77" t="s">
        <v>136</v>
      </c>
      <c r="C64" s="142">
        <f>COUNTBLANK(Number_of_Rooms)</f>
        <v>1</v>
      </c>
    </row>
    <row r="65" spans="2:12">
      <c r="B65" s="77" t="s">
        <v>137</v>
      </c>
      <c r="C65" s="142">
        <f>COUNTBLANK(Percent_Occupancy)</f>
        <v>1</v>
      </c>
    </row>
    <row r="66" spans="2:12" s="133" customFormat="1">
      <c r="B66" s="77" t="s">
        <v>138</v>
      </c>
      <c r="C66" s="77">
        <f>COUNTBLANK(Average_Daily_Rate__ADR)</f>
        <v>1</v>
      </c>
      <c r="D66" s="135"/>
      <c r="E66" s="136"/>
      <c r="F66" s="77"/>
      <c r="G66" s="137"/>
      <c r="H66" s="137"/>
      <c r="I66" s="137"/>
      <c r="J66" s="137"/>
      <c r="K66" s="137"/>
      <c r="L66" s="137"/>
    </row>
    <row r="67" spans="2:12" s="133" customFormat="1">
      <c r="B67" s="77" t="s">
        <v>139</v>
      </c>
      <c r="C67" s="142">
        <f>COUNTBLANK(B13:B18)</f>
        <v>6</v>
      </c>
      <c r="D67" s="135"/>
      <c r="E67" s="136"/>
      <c r="F67" s="77"/>
      <c r="G67" s="137"/>
      <c r="H67" s="137"/>
      <c r="I67" s="137"/>
      <c r="J67" s="137"/>
      <c r="K67" s="137"/>
      <c r="L67" s="137"/>
    </row>
    <row r="68" spans="2:12" s="133" customFormat="1">
      <c r="B68" s="77" t="s">
        <v>140</v>
      </c>
      <c r="C68" s="142">
        <f>COUNTBLANK(B26:B29)</f>
        <v>4</v>
      </c>
      <c r="D68" s="135"/>
      <c r="E68" s="136"/>
      <c r="F68" s="77"/>
      <c r="G68" s="137"/>
      <c r="H68" s="137"/>
      <c r="I68" s="137"/>
      <c r="J68" s="137"/>
      <c r="K68" s="137"/>
      <c r="L68" s="137"/>
    </row>
    <row r="69" spans="2:12" s="133" customFormat="1">
      <c r="B69" s="77" t="s">
        <v>141</v>
      </c>
      <c r="C69" s="142">
        <f>COUNTBLANK(B35:B39)</f>
        <v>5</v>
      </c>
      <c r="D69" s="135"/>
      <c r="E69" s="136"/>
      <c r="F69" s="77"/>
      <c r="G69" s="137"/>
      <c r="H69" s="137"/>
      <c r="I69" s="137"/>
      <c r="J69" s="137"/>
      <c r="K69" s="137"/>
      <c r="L69" s="137"/>
    </row>
    <row r="70" spans="2:12" s="133" customFormat="1">
      <c r="B70" s="77" t="s">
        <v>142</v>
      </c>
      <c r="C70" s="142">
        <f>COUNTBLANK(B43:B47)</f>
        <v>5</v>
      </c>
      <c r="D70" s="135"/>
      <c r="E70" s="136"/>
      <c r="F70" s="77"/>
      <c r="G70" s="137"/>
      <c r="H70" s="137"/>
      <c r="I70" s="137"/>
      <c r="J70" s="137"/>
      <c r="K70" s="137"/>
      <c r="L70" s="137"/>
    </row>
    <row r="71" spans="2:12" s="133" customFormat="1">
      <c r="B71" s="77" t="s">
        <v>143</v>
      </c>
      <c r="C71" s="142">
        <f>COUNTBLANK(B53:B55)</f>
        <v>3</v>
      </c>
      <c r="D71" s="135"/>
      <c r="E71" s="136"/>
      <c r="F71" s="77"/>
      <c r="G71" s="137"/>
      <c r="H71" s="137"/>
      <c r="I71" s="137"/>
      <c r="J71" s="137"/>
      <c r="K71" s="137"/>
      <c r="L71" s="137"/>
    </row>
    <row r="72" spans="2:12" s="133" customFormat="1">
      <c r="B72" s="77" t="s">
        <v>110</v>
      </c>
      <c r="C72" s="142">
        <f>SUM(F3:F60)</f>
        <v>8</v>
      </c>
      <c r="D72" s="135"/>
      <c r="E72" s="136"/>
      <c r="F72" s="77"/>
      <c r="G72" s="137"/>
      <c r="H72" s="137"/>
      <c r="I72" s="137"/>
      <c r="J72" s="137"/>
      <c r="K72" s="137"/>
      <c r="L72" s="137"/>
    </row>
    <row r="73" spans="2:12" s="133" customFormat="1">
      <c r="B73" s="77" t="s">
        <v>145</v>
      </c>
      <c r="C73" s="77">
        <f>SUM(C64:C72)</f>
        <v>34</v>
      </c>
      <c r="D73" s="135"/>
      <c r="E73" s="136"/>
      <c r="F73" s="77"/>
      <c r="G73" s="137"/>
      <c r="H73" s="137"/>
      <c r="I73" s="137"/>
      <c r="J73" s="137"/>
      <c r="K73" s="137"/>
      <c r="L73" s="137"/>
    </row>
    <row r="74" spans="2:12" s="133" customFormat="1">
      <c r="B74" s="77" t="s">
        <v>146</v>
      </c>
      <c r="C74" s="77">
        <f>TotalBlanks</f>
        <v>20</v>
      </c>
      <c r="D74" s="135"/>
      <c r="E74" s="136"/>
      <c r="F74" s="77"/>
      <c r="G74" s="137"/>
      <c r="H74" s="137"/>
      <c r="I74" s="137"/>
      <c r="J74" s="137"/>
      <c r="K74" s="137"/>
      <c r="L74" s="137"/>
    </row>
    <row r="75" spans="2:12" s="133" customFormat="1">
      <c r="B75" s="77" t="s">
        <v>144</v>
      </c>
      <c r="C75" s="142">
        <f>SUM(C73:C74)</f>
        <v>54</v>
      </c>
      <c r="D75" s="135"/>
      <c r="E75" s="136"/>
      <c r="F75" s="77"/>
      <c r="G75" s="137"/>
      <c r="H75" s="137"/>
      <c r="I75" s="137"/>
      <c r="J75" s="137"/>
      <c r="K75" s="137"/>
      <c r="L75" s="137"/>
    </row>
    <row r="76" spans="2:12" s="133" customFormat="1">
      <c r="C76" s="134"/>
      <c r="D76" s="135"/>
      <c r="E76" s="136"/>
      <c r="F76" s="77"/>
      <c r="G76" s="137"/>
      <c r="H76" s="137"/>
      <c r="I76" s="137"/>
      <c r="J76" s="137"/>
      <c r="K76" s="137"/>
      <c r="L76" s="137"/>
    </row>
    <row r="77" spans="2:12" s="133" customFormat="1">
      <c r="C77" s="134"/>
      <c r="D77" s="135"/>
      <c r="E77" s="136"/>
      <c r="F77" s="77"/>
      <c r="G77" s="137"/>
      <c r="H77" s="137"/>
      <c r="I77" s="137"/>
      <c r="J77" s="137"/>
      <c r="K77" s="137"/>
      <c r="L77" s="137"/>
    </row>
  </sheetData>
  <sheetProtection password="C765" sheet="1" objects="1" scenarios="1" formatColumns="0" formatRows="0"/>
  <customSheetViews>
    <customSheetView guid="{3687FC8B-D0CB-43C9-8478-35DEF022FA39}" showPageBreaks="1" printArea="1" state="hidden" view="pageLayout">
      <selection activeCell="B8" sqref="B8"/>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17">
    <mergeCell ref="A1:E1"/>
    <mergeCell ref="A2:E2"/>
    <mergeCell ref="C18:E18"/>
    <mergeCell ref="C29:E29"/>
    <mergeCell ref="A3:B3"/>
    <mergeCell ref="A11:B11"/>
    <mergeCell ref="A57:B57"/>
    <mergeCell ref="A50:B50"/>
    <mergeCell ref="A41:B41"/>
    <mergeCell ref="A33:B33"/>
    <mergeCell ref="A24:B24"/>
    <mergeCell ref="C53:E53"/>
    <mergeCell ref="C47:E47"/>
    <mergeCell ref="C43:E43"/>
    <mergeCell ref="C44:E44"/>
    <mergeCell ref="C36:E36"/>
    <mergeCell ref="C51:E51"/>
  </mergeCells>
  <conditionalFormatting sqref="B26:B29 B13:B18 B43:B47 B35:B39">
    <cfRule type="containsBlanks" dxfId="35" priority="45">
      <formula>LEN(TRIM(B13))=0</formula>
    </cfRule>
  </conditionalFormatting>
  <conditionalFormatting sqref="B5 B7 B9">
    <cfRule type="containsBlanks" dxfId="34" priority="41">
      <formula>LEN(TRIM(B5))=0</formula>
    </cfRule>
  </conditionalFormatting>
  <conditionalFormatting sqref="B53:B55">
    <cfRule type="containsBlanks" dxfId="33" priority="46">
      <formula>LEN(TRIM(B53))=0</formula>
    </cfRule>
  </conditionalFormatting>
  <conditionalFormatting sqref="E20">
    <cfRule type="expression" dxfId="32" priority="30">
      <formula>Section2 = "Yes"</formula>
    </cfRule>
  </conditionalFormatting>
  <conditionalFormatting sqref="E19">
    <cfRule type="expression" dxfId="31" priority="31">
      <formula>Section1 = "Yes"</formula>
    </cfRule>
  </conditionalFormatting>
  <conditionalFormatting sqref="D52 D19:D22 D30:D31">
    <cfRule type="containsBlanks" dxfId="30" priority="43">
      <formula>LEN(TRIM(D19))=0</formula>
    </cfRule>
  </conditionalFormatting>
  <conditionalFormatting sqref="E21">
    <cfRule type="expression" dxfId="29" priority="28">
      <formula>$D$21="Yes"</formula>
    </cfRule>
  </conditionalFormatting>
  <conditionalFormatting sqref="E22">
    <cfRule type="expression" dxfId="28" priority="27">
      <formula>Section4="Yes"</formula>
    </cfRule>
  </conditionalFormatting>
  <conditionalFormatting sqref="E30">
    <cfRule type="expression" dxfId="27" priority="26">
      <formula>Section5="Yes"</formula>
    </cfRule>
  </conditionalFormatting>
  <conditionalFormatting sqref="E54">
    <cfRule type="expression" dxfId="26" priority="25">
      <formula>Section4="Yes"</formula>
    </cfRule>
  </conditionalFormatting>
  <conditionalFormatting sqref="E31">
    <cfRule type="expression" dxfId="25" priority="24">
      <formula>Section6="Yes"</formula>
    </cfRule>
  </conditionalFormatting>
  <conditionalFormatting sqref="B10 B19:B23 B30:B32 B40 B49 B52 B56 B58">
    <cfRule type="expression" dxfId="24" priority="22">
      <formula>"&gt;0"</formula>
    </cfRule>
  </conditionalFormatting>
  <conditionalFormatting sqref="C36">
    <cfRule type="expression" dxfId="23" priority="21">
      <formula>$B$36&gt;0</formula>
    </cfRule>
  </conditionalFormatting>
  <conditionalFormatting sqref="C17">
    <cfRule type="expression" dxfId="22" priority="17">
      <formula>$B$17&gt;0</formula>
    </cfRule>
  </conditionalFormatting>
  <conditionalFormatting sqref="D17">
    <cfRule type="expression" dxfId="21" priority="14">
      <formula>$D$17&gt;0</formula>
    </cfRule>
    <cfRule type="expression" dxfId="20" priority="15">
      <formula>$B$17&gt;0</formula>
    </cfRule>
  </conditionalFormatting>
  <conditionalFormatting sqref="C53">
    <cfRule type="expression" dxfId="19" priority="12">
      <formula>$B$53&gt;0</formula>
    </cfRule>
  </conditionalFormatting>
  <conditionalFormatting sqref="E52">
    <cfRule type="expression" dxfId="18" priority="10">
      <formula>Section8="Yes"</formula>
    </cfRule>
  </conditionalFormatting>
  <conditionalFormatting sqref="B6">
    <cfRule type="expression" dxfId="17" priority="8">
      <formula>"&gt;0"</formula>
    </cfRule>
  </conditionalFormatting>
  <conditionalFormatting sqref="B8">
    <cfRule type="expression" dxfId="16" priority="7">
      <formula>"&gt;0"</formula>
    </cfRule>
  </conditionalFormatting>
  <conditionalFormatting sqref="E48">
    <cfRule type="expression" dxfId="15" priority="5">
      <formula>Section7="Yes"</formula>
    </cfRule>
  </conditionalFormatting>
  <conditionalFormatting sqref="B48">
    <cfRule type="expression" dxfId="14" priority="4">
      <formula>"&gt;0"</formula>
    </cfRule>
  </conditionalFormatting>
  <conditionalFormatting sqref="C43">
    <cfRule type="expression" dxfId="13" priority="49">
      <formula>$B$43&gt;0</formula>
    </cfRule>
  </conditionalFormatting>
  <conditionalFormatting sqref="C44:E44">
    <cfRule type="expression" dxfId="12" priority="3">
      <formula>$B$44&gt;0</formula>
    </cfRule>
  </conditionalFormatting>
  <conditionalFormatting sqref="D48">
    <cfRule type="containsBlanks" dxfId="11" priority="2">
      <formula>LEN(TRIM(D48))=0</formula>
    </cfRule>
  </conditionalFormatting>
  <conditionalFormatting sqref="C18:E18">
    <cfRule type="expression" dxfId="10" priority="1">
      <formula>$D$17&gt;0</formula>
    </cfRule>
  </conditionalFormatting>
  <dataValidations xWindow="800" yWindow="780" count="13">
    <dataValidation type="whole" operator="greaterThanOrEqual" showErrorMessage="1" sqref="C59">
      <formula1>0</formula1>
    </dataValidation>
    <dataValidation type="whole" operator="greaterThanOrEqual" showErrorMessage="1" errorTitle="Must be a whole number." error="Must be a whole number." sqref="C37:C39 C10 D17 B18 C55:C56 B5:C6 B13:C16 B53:B55 C35 B26:B29 C26:C28 B43:B48 C45:C46 B35:B39">
      <formula1>0</formula1>
    </dataValidation>
    <dataValidation operator="greaterThan" allowBlank="1" showInputMessage="1" showErrorMessage="1" sqref="C7:C8 B8"/>
    <dataValidation type="whole" operator="greaterThan" showErrorMessage="1" errorTitle="Must be a whole number." error="Must be a whole number." sqref="C9">
      <formula1>0</formula1>
    </dataValidation>
    <dataValidation type="whole" operator="greaterThanOrEqual" showInputMessage="1" showErrorMessage="1" errorTitle="Must be a whole number." error="Must be a whole number." prompt="If you have parking revenue, please enter number of parking spaces." sqref="B17">
      <formula1>0</formula1>
    </dataValidation>
    <dataValidation type="list" allowBlank="1" showInputMessage="1" showErrorMessage="1" prompt="If you answer Yes, you must fill out the relevant section. Use the hyperlink to the right." sqref="D19:D22 D30:D31 D48 D52">
      <formula1>$H$16:$H$17</formula1>
    </dataValidation>
    <dataValidation allowBlank="1" showInputMessage="1" showErrorMessage="1" prompt="Please fill out question to the right. This is not an input cell, this cell is locked." sqref="B19:B22 B30:B31 B52"/>
    <dataValidation type="whole" operator="greaterThanOrEqual" showInputMessage="1" showErrorMessage="1" errorTitle="Must be a whole number." error="Must be a whole number." prompt="This cell is locked, it is automatically calculated." sqref="B32 B23">
      <formula1>0</formula1>
    </dataValidation>
    <dataValidation allowBlank="1" showInputMessage="1" showErrorMessage="1" prompt="This cell is locked, it is automatically calculated." sqref="B40 B49 B56"/>
    <dataValidation type="whole" operator="greaterThanOrEqual" showInputMessage="1" showErrorMessage="1" prompt="This cell is locked, it is automatically calculated." sqref="B58">
      <formula1>0</formula1>
    </dataValidation>
    <dataValidation type="decimal" operator="greaterThanOrEqual" showErrorMessage="1" errorTitle="Must be a whole number." error="Must be a whole number." sqref="B9">
      <formula1>0</formula1>
    </dataValidation>
    <dataValidation type="decimal" operator="greaterThanOrEqual" showInputMessage="1" showErrorMessage="1" errorTitle="Must be a whole number." error="Must be a whole number." prompt="This cell is locked, it is automatically calculated." sqref="B10">
      <formula1>0</formula1>
    </dataValidation>
    <dataValidation type="decimal" operator="greaterThanOrEqual" allowBlank="1" showInputMessage="1" showErrorMessage="1" sqref="B7">
      <formula1>0</formula1>
    </dataValidation>
  </dataValidations>
  <hyperlinks>
    <hyperlink ref="E20" location="'Section 2'!B5" display="Fill out Section 2"/>
    <hyperlink ref="E21" location="'Section 3'!B4" display="Fill out Section 3"/>
    <hyperlink ref="E30" location="'Section 5'!B4" display="Fill out Section 5"/>
    <hyperlink ref="E31" location="'Section 6'!B4" display="Fill out Section 6"/>
    <hyperlink ref="E22" location="'Section 4'!B4" display="Fill out Section 4"/>
    <hyperlink ref="E52" location="'Section 8'!B4" display="Fill out Section 8"/>
    <hyperlink ref="E19" location="'Section 1'!B4" display="Fill out Section 1"/>
    <hyperlink ref="E48" location="'Section 7'!B4" display="Fill out Section 7"/>
  </hyperlinks>
  <printOptions verticalCentered="1"/>
  <pageMargins left="0.50416666666666665" right="0.7" top="4.8750000000000002E-2" bottom="0.75" header="0.25" footer="0.3"/>
  <pageSetup scale="60" orientation="portrait" r:id="rId2"/>
  <drawing r:id="rId3"/>
  <legacyDrawing r:id="rId4"/>
  <controls>
    <mc:AlternateContent xmlns:mc="http://schemas.openxmlformats.org/markup-compatibility/2006">
      <mc:Choice Requires="x14">
        <control shapeId="1026" r:id="rId5" name="VerifySubmission">
          <controlPr defaultSize="0" autoLine="0" r:id="rId6">
            <anchor>
              <from>
                <xdr:col>1</xdr:col>
                <xdr:colOff>1114425</xdr:colOff>
                <xdr:row>59</xdr:row>
                <xdr:rowOff>104775</xdr:rowOff>
              </from>
              <to>
                <xdr:col>2</xdr:col>
                <xdr:colOff>2219325</xdr:colOff>
                <xdr:row>59</xdr:row>
                <xdr:rowOff>619125</xdr:rowOff>
              </to>
            </anchor>
          </controlPr>
        </control>
      </mc:Choice>
      <mc:Fallback>
        <control shapeId="1026" r:id="rId5" name="VerifySubmissio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pageSetUpPr fitToPage="1"/>
  </sheetPr>
  <dimension ref="A1:R25"/>
  <sheetViews>
    <sheetView zoomScaleNormal="100" workbookViewId="0">
      <selection activeCell="A4" sqref="A4:K4"/>
    </sheetView>
  </sheetViews>
  <sheetFormatPr defaultRowHeight="15"/>
  <cols>
    <col min="1" max="1" width="9.140625" style="10" customWidth="1"/>
    <col min="2" max="2" width="31.7109375" style="10" customWidth="1"/>
    <col min="3" max="3" width="35.5703125" style="10" customWidth="1"/>
    <col min="4" max="4" width="34.28515625" style="10" customWidth="1"/>
    <col min="5" max="16384" width="9.140625" style="10"/>
  </cols>
  <sheetData>
    <row r="1" spans="1:18" ht="85.5" customHeight="1">
      <c r="A1" s="210"/>
      <c r="B1" s="210"/>
      <c r="C1" s="113" t="s">
        <v>118</v>
      </c>
      <c r="D1" s="112" t="s">
        <v>152</v>
      </c>
      <c r="G1" s="112"/>
      <c r="H1" s="112"/>
      <c r="I1" s="112"/>
      <c r="J1" s="112"/>
      <c r="K1" s="112"/>
      <c r="L1" s="16"/>
      <c r="M1" s="16"/>
      <c r="N1" s="16"/>
      <c r="O1" s="16"/>
      <c r="P1" s="16"/>
      <c r="Q1" s="16"/>
      <c r="R1" s="16"/>
    </row>
    <row r="2" spans="1:18" ht="18.75" customHeight="1">
      <c r="A2" s="206" t="s">
        <v>129</v>
      </c>
      <c r="B2" s="207"/>
      <c r="C2" s="207"/>
      <c r="D2" s="208"/>
      <c r="E2" s="11"/>
      <c r="F2" s="11"/>
      <c r="G2" s="11"/>
      <c r="H2" s="11"/>
      <c r="I2" s="11"/>
      <c r="J2" s="11"/>
      <c r="K2" s="11"/>
      <c r="L2" s="11"/>
      <c r="M2" s="11"/>
      <c r="N2" s="11"/>
      <c r="O2" s="11"/>
      <c r="P2" s="11"/>
      <c r="Q2" s="11"/>
      <c r="R2" s="11"/>
    </row>
    <row r="3" spans="1:18">
      <c r="A3" s="29"/>
      <c r="B3" s="30" t="s">
        <v>16</v>
      </c>
      <c r="C3" s="30" t="s">
        <v>79</v>
      </c>
      <c r="D3" s="30" t="s">
        <v>80</v>
      </c>
    </row>
    <row r="4" spans="1:18">
      <c r="A4" s="29">
        <v>1</v>
      </c>
      <c r="B4" s="26"/>
      <c r="C4" s="27"/>
      <c r="D4" s="28"/>
    </row>
    <row r="5" spans="1:18">
      <c r="A5" s="29">
        <v>2</v>
      </c>
      <c r="B5" s="26"/>
      <c r="C5" s="27"/>
      <c r="D5" s="28"/>
    </row>
    <row r="6" spans="1:18">
      <c r="A6" s="29">
        <v>3</v>
      </c>
      <c r="B6" s="26"/>
      <c r="C6" s="27"/>
      <c r="D6" s="28"/>
    </row>
    <row r="7" spans="1:18">
      <c r="A7" s="29">
        <v>4</v>
      </c>
      <c r="B7" s="26"/>
      <c r="C7" s="27"/>
      <c r="D7" s="28"/>
    </row>
    <row r="8" spans="1:18">
      <c r="A8" s="29">
        <v>5</v>
      </c>
      <c r="B8" s="26"/>
      <c r="C8" s="27"/>
      <c r="D8" s="28"/>
    </row>
    <row r="9" spans="1:18">
      <c r="A9" s="29">
        <v>6</v>
      </c>
      <c r="B9" s="26"/>
      <c r="C9" s="27"/>
      <c r="D9" s="28"/>
    </row>
    <row r="10" spans="1:18">
      <c r="A10" s="29">
        <v>7</v>
      </c>
      <c r="B10" s="26"/>
      <c r="C10" s="27"/>
      <c r="D10" s="28"/>
    </row>
    <row r="11" spans="1:18">
      <c r="A11" s="29">
        <v>8</v>
      </c>
      <c r="B11" s="26"/>
      <c r="C11" s="27"/>
      <c r="D11" s="28"/>
    </row>
    <row r="12" spans="1:18">
      <c r="A12" s="29">
        <v>9</v>
      </c>
      <c r="B12" s="26"/>
      <c r="C12" s="27"/>
      <c r="D12" s="28"/>
    </row>
    <row r="13" spans="1:18">
      <c r="A13" s="29">
        <v>10</v>
      </c>
      <c r="B13" s="26"/>
      <c r="C13" s="27"/>
      <c r="D13" s="28"/>
    </row>
    <row r="14" spans="1:18">
      <c r="A14" s="29">
        <v>11</v>
      </c>
      <c r="B14" s="26"/>
      <c r="C14" s="27"/>
      <c r="D14" s="28"/>
    </row>
    <row r="15" spans="1:18">
      <c r="A15" s="29">
        <v>12</v>
      </c>
      <c r="B15" s="26"/>
      <c r="C15" s="27"/>
      <c r="D15" s="28"/>
    </row>
    <row r="16" spans="1:18">
      <c r="A16" s="29">
        <v>13</v>
      </c>
      <c r="B16" s="26"/>
      <c r="C16" s="27"/>
      <c r="D16" s="28"/>
    </row>
    <row r="17" spans="1:4">
      <c r="A17" s="29">
        <v>14</v>
      </c>
      <c r="B17" s="26"/>
      <c r="C17" s="27"/>
      <c r="D17" s="28"/>
    </row>
    <row r="18" spans="1:4">
      <c r="A18" s="29">
        <v>15</v>
      </c>
      <c r="B18" s="26"/>
      <c r="C18" s="27"/>
      <c r="D18" s="28"/>
    </row>
    <row r="19" spans="1:4">
      <c r="A19" s="29">
        <v>16</v>
      </c>
      <c r="B19" s="26"/>
      <c r="C19" s="27"/>
      <c r="D19" s="28"/>
    </row>
    <row r="20" spans="1:4">
      <c r="A20" s="29">
        <v>17</v>
      </c>
      <c r="B20" s="26"/>
      <c r="C20" s="27"/>
      <c r="D20" s="28"/>
    </row>
    <row r="21" spans="1:4">
      <c r="A21" s="29">
        <v>18</v>
      </c>
      <c r="B21" s="26"/>
      <c r="C21" s="27"/>
      <c r="D21" s="28"/>
    </row>
    <row r="22" spans="1:4">
      <c r="A22" s="29">
        <v>19</v>
      </c>
      <c r="B22" s="26"/>
      <c r="C22" s="27"/>
      <c r="D22" s="28"/>
    </row>
    <row r="23" spans="1:4">
      <c r="A23" s="29">
        <v>20</v>
      </c>
      <c r="B23" s="26"/>
      <c r="C23" s="27"/>
      <c r="D23" s="28"/>
    </row>
    <row r="24" spans="1:4" s="11" customFormat="1">
      <c r="C24" s="12">
        <f>SUM(C4:C23)</f>
        <v>0</v>
      </c>
    </row>
    <row r="25" spans="1:4" s="11" customFormat="1" ht="18.75">
      <c r="B25" s="209" t="s">
        <v>44</v>
      </c>
      <c r="C25" s="209"/>
      <c r="D25" s="209"/>
    </row>
  </sheetData>
  <sheetProtection password="C765" sheet="1" objects="1" scenarios="1" formatColumns="0" formatRows="0"/>
  <protectedRanges>
    <protectedRange password="C765" sqref="C24" name="Range1"/>
  </protectedRanges>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D2"/>
    <mergeCell ref="B25:D25"/>
    <mergeCell ref="A1:B1"/>
  </mergeCells>
  <conditionalFormatting sqref="B4:D23">
    <cfRule type="containsBlanks" dxfId="9" priority="1">
      <formula>LEN(TRIM(B4))=0</formula>
    </cfRule>
  </conditionalFormatting>
  <dataValidations count="2">
    <dataValidation type="whole" operator="greaterThan" allowBlank="1" showErrorMessage="1" errorTitle="Must be a whole number." error="Must be a whole number." sqref="D4:D23">
      <formula1>0</formula1>
    </dataValidation>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D25" location="Section2" display="Return to Income Expense Report"/>
  </hyperlinks>
  <printOptions verticalCentered="1"/>
  <pageMargins left="0.7" right="0.7" top="0.50375000000000003" bottom="0.75" header="0.25" footer="0.3"/>
  <pageSetup orientation="landscape"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pageSetUpPr fitToPage="1"/>
  </sheetPr>
  <dimension ref="A1:T121"/>
  <sheetViews>
    <sheetView zoomScaleNormal="100" workbookViewId="0">
      <selection activeCell="B5" sqref="B5"/>
    </sheetView>
  </sheetViews>
  <sheetFormatPr defaultRowHeight="15"/>
  <cols>
    <col min="1" max="1" width="9" style="1" customWidth="1"/>
    <col min="2" max="2" width="10.7109375" style="1" bestFit="1" customWidth="1"/>
    <col min="3" max="3" width="29.140625" style="1" customWidth="1"/>
    <col min="4" max="4" width="29.85546875" style="1" customWidth="1"/>
    <col min="5" max="5" width="11.7109375" style="1" bestFit="1" customWidth="1"/>
    <col min="6" max="6" width="14.85546875" style="1" bestFit="1" customWidth="1"/>
    <col min="7" max="7" width="17.42578125" style="8" bestFit="1" customWidth="1"/>
    <col min="8" max="9" width="11.28515625" style="1" bestFit="1" customWidth="1"/>
    <col min="10" max="10" width="9.140625" style="1" bestFit="1" customWidth="1"/>
    <col min="11" max="11" width="12.7109375" style="1" bestFit="1" customWidth="1"/>
    <col min="12" max="12" width="11.85546875" style="1" bestFit="1" customWidth="1"/>
    <col min="13" max="13" width="10.5703125" style="8" customWidth="1"/>
    <col min="14" max="20" width="9.140625" style="8"/>
    <col min="21" max="16384" width="9.140625" style="1"/>
  </cols>
  <sheetData>
    <row r="1" spans="1:20" s="10" customFormat="1" ht="85.5" customHeight="1">
      <c r="A1" s="114"/>
      <c r="C1" s="212" t="s">
        <v>118</v>
      </c>
      <c r="D1" s="212"/>
      <c r="E1" s="212"/>
      <c r="F1" s="212"/>
      <c r="G1" s="212"/>
      <c r="H1" s="212"/>
      <c r="I1" s="212"/>
      <c r="J1" s="120"/>
      <c r="L1" s="174" t="s">
        <v>152</v>
      </c>
      <c r="M1" s="16"/>
      <c r="N1" s="16"/>
      <c r="O1" s="16"/>
      <c r="P1" s="16"/>
      <c r="Q1" s="16"/>
      <c r="R1" s="16"/>
    </row>
    <row r="2" spans="1:20" ht="18.75">
      <c r="A2" s="211" t="s">
        <v>128</v>
      </c>
      <c r="B2" s="211"/>
      <c r="C2" s="211"/>
      <c r="D2" s="211"/>
      <c r="E2" s="211"/>
      <c r="F2" s="211"/>
      <c r="G2" s="211"/>
      <c r="H2" s="211"/>
      <c r="I2" s="211"/>
      <c r="J2" s="211"/>
      <c r="K2" s="211"/>
      <c r="L2" s="211"/>
      <c r="M2" s="13"/>
    </row>
    <row r="3" spans="1:20" ht="45">
      <c r="A3" s="2"/>
      <c r="B3" s="3" t="s">
        <v>17</v>
      </c>
      <c r="C3" s="3" t="s">
        <v>84</v>
      </c>
      <c r="D3" s="3" t="s">
        <v>18</v>
      </c>
      <c r="E3" s="3" t="s">
        <v>19</v>
      </c>
      <c r="F3" s="3" t="s">
        <v>156</v>
      </c>
      <c r="G3" s="3" t="s">
        <v>43</v>
      </c>
      <c r="H3" s="3" t="s">
        <v>42</v>
      </c>
      <c r="I3" s="3" t="s">
        <v>81</v>
      </c>
      <c r="J3" s="3" t="s">
        <v>26</v>
      </c>
      <c r="K3" s="3" t="s">
        <v>20</v>
      </c>
      <c r="L3" s="3" t="s">
        <v>21</v>
      </c>
      <c r="M3" s="13"/>
    </row>
    <row r="4" spans="1:20" s="132" customFormat="1">
      <c r="A4" s="129" t="s">
        <v>38</v>
      </c>
      <c r="B4" s="3" t="s">
        <v>39</v>
      </c>
      <c r="C4" s="4" t="s">
        <v>40</v>
      </c>
      <c r="D4" s="3" t="s">
        <v>41</v>
      </c>
      <c r="E4" s="5">
        <v>500</v>
      </c>
      <c r="F4" s="6">
        <v>5</v>
      </c>
      <c r="G4" s="17">
        <v>42370</v>
      </c>
      <c r="H4" s="7">
        <v>24</v>
      </c>
      <c r="I4" s="3" t="s">
        <v>59</v>
      </c>
      <c r="J4" s="7">
        <v>2</v>
      </c>
      <c r="K4" s="6">
        <v>1</v>
      </c>
      <c r="L4" s="6">
        <v>5</v>
      </c>
      <c r="M4" s="130"/>
      <c r="N4" s="131"/>
      <c r="O4" s="131"/>
      <c r="P4" s="131"/>
      <c r="Q4" s="131"/>
      <c r="R4" s="131"/>
      <c r="S4" s="131"/>
      <c r="T4" s="131"/>
    </row>
    <row r="5" spans="1:20">
      <c r="A5" s="2">
        <v>1</v>
      </c>
      <c r="B5" s="18"/>
      <c r="C5" s="18"/>
      <c r="D5" s="19"/>
      <c r="E5" s="20"/>
      <c r="F5" s="21"/>
      <c r="G5" s="89"/>
      <c r="H5" s="22"/>
      <c r="I5" s="19"/>
      <c r="J5" s="22"/>
      <c r="K5" s="21"/>
      <c r="L5" s="21"/>
      <c r="M5" s="12">
        <f>E5*F5</f>
        <v>0</v>
      </c>
    </row>
    <row r="6" spans="1:20">
      <c r="A6" s="2">
        <v>2</v>
      </c>
      <c r="B6" s="18"/>
      <c r="C6" s="18"/>
      <c r="D6" s="19"/>
      <c r="E6" s="20"/>
      <c r="F6" s="21"/>
      <c r="G6" s="89"/>
      <c r="H6" s="22"/>
      <c r="I6" s="19"/>
      <c r="J6" s="22"/>
      <c r="K6" s="21"/>
      <c r="L6" s="21"/>
      <c r="M6" s="12">
        <f t="shared" ref="M6:M24" si="0">E6*F6</f>
        <v>0</v>
      </c>
    </row>
    <row r="7" spans="1:20">
      <c r="A7" s="2">
        <v>3</v>
      </c>
      <c r="B7" s="18"/>
      <c r="C7" s="18"/>
      <c r="D7" s="19"/>
      <c r="E7" s="20"/>
      <c r="F7" s="21"/>
      <c r="G7" s="89"/>
      <c r="H7" s="22"/>
      <c r="I7" s="19"/>
      <c r="J7" s="22"/>
      <c r="K7" s="21"/>
      <c r="L7" s="21"/>
      <c r="M7" s="12">
        <f t="shared" si="0"/>
        <v>0</v>
      </c>
    </row>
    <row r="8" spans="1:20">
      <c r="A8" s="2">
        <v>4</v>
      </c>
      <c r="B8" s="18"/>
      <c r="C8" s="18"/>
      <c r="D8" s="19"/>
      <c r="E8" s="20"/>
      <c r="F8" s="21"/>
      <c r="G8" s="89"/>
      <c r="H8" s="22"/>
      <c r="I8" s="19"/>
      <c r="J8" s="22"/>
      <c r="K8" s="21"/>
      <c r="L8" s="21"/>
      <c r="M8" s="12">
        <f t="shared" si="0"/>
        <v>0</v>
      </c>
    </row>
    <row r="9" spans="1:20">
      <c r="A9" s="2">
        <v>5</v>
      </c>
      <c r="B9" s="18"/>
      <c r="C9" s="18"/>
      <c r="D9" s="19"/>
      <c r="E9" s="20"/>
      <c r="F9" s="21"/>
      <c r="G9" s="89"/>
      <c r="H9" s="22"/>
      <c r="I9" s="19"/>
      <c r="J9" s="22"/>
      <c r="K9" s="21"/>
      <c r="L9" s="21"/>
      <c r="M9" s="12">
        <f t="shared" si="0"/>
        <v>0</v>
      </c>
    </row>
    <row r="10" spans="1:20">
      <c r="A10" s="2">
        <v>6</v>
      </c>
      <c r="B10" s="18"/>
      <c r="C10" s="18"/>
      <c r="D10" s="19"/>
      <c r="E10" s="20"/>
      <c r="F10" s="21"/>
      <c r="G10" s="89"/>
      <c r="H10" s="22"/>
      <c r="I10" s="19"/>
      <c r="J10" s="22"/>
      <c r="K10" s="21"/>
      <c r="L10" s="21"/>
      <c r="M10" s="12">
        <f t="shared" si="0"/>
        <v>0</v>
      </c>
    </row>
    <row r="11" spans="1:20">
      <c r="A11" s="2">
        <v>7</v>
      </c>
      <c r="B11" s="18"/>
      <c r="C11" s="18"/>
      <c r="D11" s="19"/>
      <c r="E11" s="20"/>
      <c r="F11" s="21"/>
      <c r="G11" s="89"/>
      <c r="H11" s="22"/>
      <c r="I11" s="19"/>
      <c r="J11" s="22"/>
      <c r="K11" s="21"/>
      <c r="L11" s="21"/>
      <c r="M11" s="12">
        <f t="shared" si="0"/>
        <v>0</v>
      </c>
    </row>
    <row r="12" spans="1:20">
      <c r="A12" s="2">
        <v>8</v>
      </c>
      <c r="B12" s="18"/>
      <c r="C12" s="18"/>
      <c r="D12" s="19"/>
      <c r="E12" s="20"/>
      <c r="F12" s="21"/>
      <c r="G12" s="89"/>
      <c r="H12" s="22"/>
      <c r="I12" s="19"/>
      <c r="J12" s="22"/>
      <c r="K12" s="21"/>
      <c r="L12" s="21"/>
      <c r="M12" s="12">
        <f t="shared" si="0"/>
        <v>0</v>
      </c>
    </row>
    <row r="13" spans="1:20">
      <c r="A13" s="2">
        <v>9</v>
      </c>
      <c r="B13" s="18"/>
      <c r="C13" s="18"/>
      <c r="D13" s="19"/>
      <c r="E13" s="20"/>
      <c r="F13" s="21"/>
      <c r="G13" s="89"/>
      <c r="H13" s="22"/>
      <c r="I13" s="19"/>
      <c r="J13" s="22"/>
      <c r="K13" s="21"/>
      <c r="L13" s="21"/>
      <c r="M13" s="12">
        <f t="shared" si="0"/>
        <v>0</v>
      </c>
    </row>
    <row r="14" spans="1:20">
      <c r="A14" s="2">
        <v>10</v>
      </c>
      <c r="B14" s="18"/>
      <c r="C14" s="18"/>
      <c r="D14" s="19"/>
      <c r="E14" s="20"/>
      <c r="F14" s="21"/>
      <c r="G14" s="89"/>
      <c r="H14" s="22"/>
      <c r="I14" s="19"/>
      <c r="J14" s="22"/>
      <c r="K14" s="21"/>
      <c r="L14" s="21"/>
      <c r="M14" s="12">
        <f t="shared" si="0"/>
        <v>0</v>
      </c>
    </row>
    <row r="15" spans="1:20">
      <c r="A15" s="2">
        <v>11</v>
      </c>
      <c r="B15" s="18"/>
      <c r="C15" s="18"/>
      <c r="D15" s="19"/>
      <c r="E15" s="20"/>
      <c r="F15" s="21"/>
      <c r="G15" s="89"/>
      <c r="H15" s="22"/>
      <c r="I15" s="19"/>
      <c r="J15" s="22"/>
      <c r="K15" s="21"/>
      <c r="L15" s="21"/>
      <c r="M15" s="12">
        <f t="shared" si="0"/>
        <v>0</v>
      </c>
    </row>
    <row r="16" spans="1:20">
      <c r="A16" s="2">
        <v>12</v>
      </c>
      <c r="B16" s="18"/>
      <c r="C16" s="18"/>
      <c r="D16" s="19"/>
      <c r="E16" s="20"/>
      <c r="F16" s="21"/>
      <c r="G16" s="89"/>
      <c r="H16" s="22"/>
      <c r="I16" s="19"/>
      <c r="J16" s="22"/>
      <c r="K16" s="21"/>
      <c r="L16" s="21"/>
      <c r="M16" s="12">
        <f t="shared" si="0"/>
        <v>0</v>
      </c>
    </row>
    <row r="17" spans="1:13">
      <c r="A17" s="2">
        <v>13</v>
      </c>
      <c r="B17" s="18"/>
      <c r="C17" s="18"/>
      <c r="D17" s="19"/>
      <c r="E17" s="20"/>
      <c r="F17" s="21"/>
      <c r="G17" s="89"/>
      <c r="H17" s="22"/>
      <c r="I17" s="19"/>
      <c r="J17" s="22"/>
      <c r="K17" s="21"/>
      <c r="L17" s="21"/>
      <c r="M17" s="12">
        <f t="shared" si="0"/>
        <v>0</v>
      </c>
    </row>
    <row r="18" spans="1:13">
      <c r="A18" s="2">
        <v>14</v>
      </c>
      <c r="B18" s="18"/>
      <c r="C18" s="18"/>
      <c r="D18" s="19"/>
      <c r="E18" s="20"/>
      <c r="F18" s="21"/>
      <c r="G18" s="89"/>
      <c r="H18" s="22"/>
      <c r="I18" s="19"/>
      <c r="J18" s="22"/>
      <c r="K18" s="21"/>
      <c r="L18" s="21"/>
      <c r="M18" s="12">
        <f t="shared" si="0"/>
        <v>0</v>
      </c>
    </row>
    <row r="19" spans="1:13">
      <c r="A19" s="2">
        <v>15</v>
      </c>
      <c r="B19" s="18"/>
      <c r="C19" s="18"/>
      <c r="D19" s="19"/>
      <c r="E19" s="20"/>
      <c r="F19" s="21"/>
      <c r="G19" s="89"/>
      <c r="H19" s="22"/>
      <c r="I19" s="19"/>
      <c r="J19" s="22"/>
      <c r="K19" s="21"/>
      <c r="L19" s="21"/>
      <c r="M19" s="12">
        <f t="shared" si="0"/>
        <v>0</v>
      </c>
    </row>
    <row r="20" spans="1:13">
      <c r="A20" s="2">
        <v>16</v>
      </c>
      <c r="B20" s="18"/>
      <c r="C20" s="18"/>
      <c r="D20" s="19"/>
      <c r="E20" s="20"/>
      <c r="F20" s="21"/>
      <c r="G20" s="89"/>
      <c r="H20" s="22"/>
      <c r="I20" s="19"/>
      <c r="J20" s="22"/>
      <c r="K20" s="21"/>
      <c r="L20" s="21"/>
      <c r="M20" s="12">
        <f t="shared" si="0"/>
        <v>0</v>
      </c>
    </row>
    <row r="21" spans="1:13">
      <c r="A21" s="2">
        <v>17</v>
      </c>
      <c r="B21" s="18"/>
      <c r="C21" s="18"/>
      <c r="D21" s="19"/>
      <c r="E21" s="20"/>
      <c r="F21" s="21"/>
      <c r="G21" s="89"/>
      <c r="H21" s="22"/>
      <c r="I21" s="19"/>
      <c r="J21" s="22"/>
      <c r="K21" s="21"/>
      <c r="L21" s="21"/>
      <c r="M21" s="12">
        <f t="shared" si="0"/>
        <v>0</v>
      </c>
    </row>
    <row r="22" spans="1:13">
      <c r="A22" s="2">
        <v>18</v>
      </c>
      <c r="B22" s="18"/>
      <c r="C22" s="18"/>
      <c r="D22" s="19"/>
      <c r="E22" s="20"/>
      <c r="F22" s="21"/>
      <c r="G22" s="89"/>
      <c r="H22" s="22"/>
      <c r="I22" s="19"/>
      <c r="J22" s="22"/>
      <c r="K22" s="21"/>
      <c r="L22" s="21"/>
      <c r="M22" s="12">
        <f t="shared" si="0"/>
        <v>0</v>
      </c>
    </row>
    <row r="23" spans="1:13">
      <c r="A23" s="2">
        <v>19</v>
      </c>
      <c r="B23" s="18"/>
      <c r="C23" s="18"/>
      <c r="D23" s="19"/>
      <c r="E23" s="20"/>
      <c r="F23" s="21"/>
      <c r="G23" s="89"/>
      <c r="H23" s="22"/>
      <c r="I23" s="19"/>
      <c r="J23" s="22"/>
      <c r="K23" s="21"/>
      <c r="L23" s="21"/>
      <c r="M23" s="12">
        <f t="shared" si="0"/>
        <v>0</v>
      </c>
    </row>
    <row r="24" spans="1:13">
      <c r="A24" s="2">
        <v>20</v>
      </c>
      <c r="B24" s="18"/>
      <c r="C24" s="18"/>
      <c r="D24" s="19"/>
      <c r="E24" s="20"/>
      <c r="F24" s="21"/>
      <c r="G24" s="89"/>
      <c r="H24" s="22"/>
      <c r="I24" s="19"/>
      <c r="J24" s="22"/>
      <c r="K24" s="21"/>
      <c r="L24" s="21"/>
      <c r="M24" s="12">
        <f t="shared" si="0"/>
        <v>0</v>
      </c>
    </row>
    <row r="25" spans="1:13" s="8" customFormat="1">
      <c r="M25" s="12">
        <f>SUM(M5:M24)</f>
        <v>0</v>
      </c>
    </row>
    <row r="26" spans="1:13" s="8" customFormat="1" ht="18.75">
      <c r="B26" s="209" t="s">
        <v>44</v>
      </c>
      <c r="C26" s="209"/>
      <c r="D26" s="209"/>
      <c r="E26" s="209"/>
      <c r="F26" s="209"/>
      <c r="G26" s="209"/>
      <c r="H26" s="209"/>
      <c r="I26" s="209"/>
      <c r="J26" s="209"/>
      <c r="K26" s="209"/>
      <c r="L26" s="209"/>
      <c r="M26" s="13"/>
    </row>
    <row r="27" spans="1:13" s="8" customFormat="1"/>
    <row r="28" spans="1:13" s="8" customFormat="1">
      <c r="H28" s="36"/>
    </row>
    <row r="29" spans="1:13" s="8" customFormat="1"/>
    <row r="30" spans="1:13" s="8" customFormat="1"/>
    <row r="31" spans="1:13" s="8" customFormat="1"/>
    <row r="32" spans="1:13" s="8" customFormat="1"/>
    <row r="33" spans="5:5" s="8" customFormat="1"/>
    <row r="34" spans="5:5" s="11" customFormat="1">
      <c r="E34" s="11" t="s">
        <v>60</v>
      </c>
    </row>
    <row r="35" spans="5:5" s="11" customFormat="1">
      <c r="E35" s="11" t="s">
        <v>59</v>
      </c>
    </row>
    <row r="36" spans="5:5" s="11" customFormat="1">
      <c r="E36" s="11" t="s">
        <v>61</v>
      </c>
    </row>
    <row r="37" spans="5:5" s="11" customFormat="1">
      <c r="E37" s="11" t="s">
        <v>62</v>
      </c>
    </row>
    <row r="38" spans="5:5" s="8" customFormat="1"/>
    <row r="39" spans="5:5" s="8" customFormat="1"/>
    <row r="40" spans="5:5" s="8" customFormat="1"/>
    <row r="41" spans="5:5" s="8" customFormat="1"/>
    <row r="42" spans="5:5" s="8" customFormat="1"/>
    <row r="43" spans="5:5" s="8" customFormat="1"/>
    <row r="44" spans="5:5" s="8" customFormat="1"/>
    <row r="45" spans="5:5" s="8" customFormat="1"/>
    <row r="46" spans="5:5" s="8" customFormat="1"/>
    <row r="47" spans="5:5" s="8" customFormat="1"/>
    <row r="48" spans="5:5" s="8" customFormat="1"/>
    <row r="49" s="8" customFormat="1"/>
    <row r="50" s="8" customFormat="1"/>
    <row r="51" s="8" customFormat="1"/>
    <row r="52" s="8" customFormat="1"/>
    <row r="53" s="8" customFormat="1"/>
    <row r="54" s="8" customFormat="1"/>
    <row r="55" s="8" customFormat="1"/>
    <row r="56" s="8" customFormat="1"/>
    <row r="57" s="8" customFormat="1"/>
    <row r="58" s="8" customFormat="1"/>
    <row r="59" s="8" customFormat="1"/>
    <row r="60" s="8" customFormat="1"/>
    <row r="61" s="8" customFormat="1"/>
    <row r="62" s="8" customFormat="1"/>
    <row r="63" s="8" customFormat="1"/>
    <row r="64" s="8" customFormat="1"/>
    <row r="65" s="8" customFormat="1"/>
    <row r="66" s="8" customFormat="1"/>
    <row r="67" s="8" customFormat="1"/>
    <row r="68" s="8" customFormat="1"/>
    <row r="69" s="8" customFormat="1"/>
    <row r="70" s="8" customFormat="1"/>
    <row r="71" s="8" customFormat="1"/>
    <row r="72" s="8" customFormat="1"/>
    <row r="73" s="8" customFormat="1"/>
    <row r="74" s="8" customFormat="1"/>
    <row r="75" s="8" customFormat="1"/>
    <row r="76" s="8" customFormat="1"/>
    <row r="77" s="8" customFormat="1"/>
    <row r="78" s="8" customFormat="1"/>
    <row r="79" s="8" customFormat="1"/>
    <row r="80" s="8" customFormat="1"/>
    <row r="81" s="8" customFormat="1"/>
    <row r="82" s="8" customFormat="1"/>
    <row r="83" s="8" customFormat="1"/>
    <row r="84" s="8" customFormat="1"/>
    <row r="85" s="8" customFormat="1"/>
    <row r="86" s="8" customFormat="1"/>
    <row r="87" s="8" customFormat="1"/>
    <row r="88" s="8" customFormat="1"/>
    <row r="89" s="8" customFormat="1"/>
    <row r="90" s="8" customFormat="1"/>
    <row r="91" s="8" customFormat="1"/>
    <row r="92" s="8" customFormat="1"/>
    <row r="93" s="8" customFormat="1"/>
    <row r="94" s="8" customFormat="1"/>
    <row r="95" s="8" customFormat="1"/>
    <row r="96" s="8" customFormat="1"/>
    <row r="97" s="8" customFormat="1"/>
    <row r="98" s="8" customFormat="1"/>
    <row r="99" s="8" customFormat="1"/>
    <row r="100" s="8" customFormat="1"/>
    <row r="101" s="8" customFormat="1"/>
    <row r="102" s="8" customFormat="1"/>
    <row r="103" s="8" customFormat="1"/>
    <row r="104" s="8" customFormat="1"/>
    <row r="105" s="8" customFormat="1"/>
    <row r="106" s="8" customFormat="1"/>
    <row r="107" s="8" customFormat="1"/>
    <row r="108" s="8" customFormat="1"/>
    <row r="109" s="8" customFormat="1"/>
    <row r="110" s="8" customFormat="1"/>
    <row r="111" s="8" customFormat="1"/>
    <row r="112" s="8" customFormat="1"/>
    <row r="113" s="8" customFormat="1"/>
    <row r="114" s="8" customFormat="1"/>
    <row r="115" s="8" customFormat="1"/>
    <row r="116" s="8" customFormat="1"/>
    <row r="117" s="8" customFormat="1"/>
    <row r="118" s="8" customFormat="1"/>
    <row r="119" s="8" customFormat="1"/>
    <row r="120" s="8" customFormat="1"/>
    <row r="121" s="8" customFormat="1"/>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L2"/>
    <mergeCell ref="B26:L26"/>
    <mergeCell ref="C1:I1"/>
  </mergeCells>
  <conditionalFormatting sqref="B5:L24">
    <cfRule type="containsBlanks" dxfId="8" priority="2">
      <formula>LEN(TRIM(B5))=0</formula>
    </cfRule>
  </conditionalFormatting>
  <dataValidations count="7">
    <dataValidation type="list" showErrorMessage="1" error="Choose a selction." prompt="Please choose from the drop down options." sqref="I5:I24">
      <formula1>LeaseTypes</formula1>
    </dataValidation>
    <dataValidation type="whole" allowBlank="1" showInputMessage="1" showErrorMessage="1" errorTitle="Must be a number" error="Enter a number." sqref="E5:E24">
      <formula1>1</formula1>
      <formula2>100000</formula2>
    </dataValidation>
    <dataValidation type="decimal" allowBlank="1" showInputMessage="1" showErrorMessage="1" sqref="F5:F24">
      <formula1>5</formula1>
      <formula2>10000</formula2>
    </dataValidation>
    <dataValidation type="date" allowBlank="1" showInputMessage="1" showErrorMessage="1" error="Please input a date prior to February 2017." sqref="G5:G24">
      <formula1>32874</formula1>
      <formula2>42767</formula2>
    </dataValidation>
    <dataValidation type="whole" allowBlank="1" showInputMessage="1" showErrorMessage="1" error="Please enter the number of free months of rent." sqref="J5:J24">
      <formula1>0</formula1>
      <formula2>24</formula2>
    </dataValidation>
    <dataValidation type="whole" allowBlank="1" showInputMessage="1" showErrorMessage="1" sqref="H5:H24">
      <formula1>0</formula1>
      <formula2>300</formula2>
    </dataValidation>
    <dataValidation type="decimal" allowBlank="1" showInputMessage="1" showErrorMessage="1" sqref="K5:L24">
      <formula1>0</formula1>
      <formula2>100000</formula2>
    </dataValidation>
  </dataValidations>
  <hyperlinks>
    <hyperlink ref="B26" location="IncomeExpenseReport!A1" display="Return to Income Expense Report"/>
    <hyperlink ref="B26:L26" location="Section3" display="Return to Income Expense Report"/>
  </hyperlinks>
  <printOptions verticalCentered="1"/>
  <pageMargins left="0.7" right="0.7" top="0.49562499999999998" bottom="0.75" header="0.25" footer="0.3"/>
  <pageSetup scale="68" orientation="landscape" r:id="rId2"/>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pageSetUpPr fitToPage="1"/>
  </sheetPr>
  <dimension ref="A1:R27"/>
  <sheetViews>
    <sheetView zoomScaleNormal="100" workbookViewId="0">
      <selection activeCell="A4" sqref="A4:K4"/>
    </sheetView>
  </sheetViews>
  <sheetFormatPr defaultRowHeight="15"/>
  <cols>
    <col min="1" max="1" width="9.42578125" style="14" customWidth="1"/>
    <col min="2" max="2" width="50.5703125" style="14" customWidth="1"/>
    <col min="3" max="3" width="58.14062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127</v>
      </c>
      <c r="B2" s="207"/>
      <c r="C2" s="208"/>
    </row>
    <row r="3" spans="1:18">
      <c r="A3" s="33"/>
      <c r="B3" s="34" t="s">
        <v>16</v>
      </c>
      <c r="C3" s="35" t="s">
        <v>79</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row r="27" spans="1:3">
      <c r="B27" s="75" t="s">
        <v>85</v>
      </c>
      <c r="C27" s="75" t="s">
        <v>86</v>
      </c>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7"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4" display="Return to Income Expense Report"/>
  </hyperlinks>
  <printOptions verticalCentered="1"/>
  <pageMargins left="0.7" right="0.7" top="0.50375000000000003" bottom="0.75" header="0.25" footer="0.3"/>
  <pageSetup orientation="landscape"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pageSetUpPr fitToPage="1"/>
  </sheetPr>
  <dimension ref="A1:R25"/>
  <sheetViews>
    <sheetView zoomScaleNormal="100" workbookViewId="0">
      <selection activeCell="B3" sqref="B3"/>
    </sheetView>
  </sheetViews>
  <sheetFormatPr defaultRowHeight="15"/>
  <cols>
    <col min="1" max="1" width="7.7109375" style="14" customWidth="1"/>
    <col min="2" max="2" width="45.5703125" style="14" customWidth="1"/>
    <col min="3" max="3" width="61.710937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126</v>
      </c>
      <c r="B2" s="207"/>
      <c r="C2" s="208"/>
    </row>
    <row r="3" spans="1:18">
      <c r="A3" s="33"/>
      <c r="B3" s="34" t="s">
        <v>16</v>
      </c>
      <c r="C3" s="35" t="s">
        <v>79</v>
      </c>
    </row>
    <row r="4" spans="1:18">
      <c r="A4" s="33">
        <v>1</v>
      </c>
      <c r="B4" s="78"/>
      <c r="C4" s="79"/>
    </row>
    <row r="5" spans="1:18">
      <c r="A5" s="33">
        <v>2</v>
      </c>
      <c r="B5" s="78"/>
      <c r="C5" s="79"/>
    </row>
    <row r="6" spans="1:18">
      <c r="A6" s="33">
        <v>3</v>
      </c>
      <c r="B6" s="78"/>
      <c r="C6" s="79"/>
    </row>
    <row r="7" spans="1:18">
      <c r="A7" s="33">
        <v>4</v>
      </c>
      <c r="B7" s="78"/>
      <c r="C7" s="79"/>
    </row>
    <row r="8" spans="1:18">
      <c r="A8" s="33">
        <v>5</v>
      </c>
      <c r="B8" s="78"/>
      <c r="C8" s="79"/>
    </row>
    <row r="9" spans="1:18">
      <c r="A9" s="33">
        <v>6</v>
      </c>
      <c r="B9" s="78"/>
      <c r="C9" s="79"/>
    </row>
    <row r="10" spans="1:18">
      <c r="A10" s="33">
        <v>7</v>
      </c>
      <c r="B10" s="78"/>
      <c r="C10" s="79"/>
    </row>
    <row r="11" spans="1:18">
      <c r="A11" s="33">
        <v>8</v>
      </c>
      <c r="B11" s="78"/>
      <c r="C11" s="79"/>
    </row>
    <row r="12" spans="1:18">
      <c r="A12" s="33">
        <v>9</v>
      </c>
      <c r="B12" s="78"/>
      <c r="C12" s="79"/>
    </row>
    <row r="13" spans="1:18">
      <c r="A13" s="33">
        <v>10</v>
      </c>
      <c r="B13" s="78"/>
      <c r="C13" s="79"/>
    </row>
    <row r="14" spans="1:18">
      <c r="A14" s="33">
        <v>11</v>
      </c>
      <c r="B14" s="78"/>
      <c r="C14" s="79"/>
    </row>
    <row r="15" spans="1:18">
      <c r="A15" s="33">
        <v>12</v>
      </c>
      <c r="B15" s="78"/>
      <c r="C15" s="79"/>
    </row>
    <row r="16" spans="1:18">
      <c r="A16" s="33">
        <v>13</v>
      </c>
      <c r="B16" s="78"/>
      <c r="C16" s="79"/>
    </row>
    <row r="17" spans="1:3">
      <c r="A17" s="33">
        <v>14</v>
      </c>
      <c r="B17" s="78"/>
      <c r="C17" s="79"/>
    </row>
    <row r="18" spans="1:3">
      <c r="A18" s="33">
        <v>15</v>
      </c>
      <c r="B18" s="78"/>
      <c r="C18" s="79"/>
    </row>
    <row r="19" spans="1:3">
      <c r="A19" s="33">
        <v>16</v>
      </c>
      <c r="B19" s="78"/>
      <c r="C19" s="79"/>
    </row>
    <row r="20" spans="1:3">
      <c r="A20" s="33">
        <v>17</v>
      </c>
      <c r="B20" s="78"/>
      <c r="C20" s="79"/>
    </row>
    <row r="21" spans="1:3">
      <c r="A21" s="33">
        <v>18</v>
      </c>
      <c r="B21" s="78"/>
      <c r="C21" s="79"/>
    </row>
    <row r="22" spans="1:3">
      <c r="A22" s="33">
        <v>19</v>
      </c>
      <c r="B22" s="78"/>
      <c r="C22" s="79"/>
    </row>
    <row r="23" spans="1:3">
      <c r="A23" s="33">
        <v>20</v>
      </c>
      <c r="B23" s="78"/>
      <c r="C23" s="79"/>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6" priority="2">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Rooms" display="Return to Income Expense Report"/>
  </hyperlinks>
  <printOptions verticalCentered="1"/>
  <pageMargins left="0.7" right="0.7" top="0.49562499999999998" bottom="0.75" header="0.25" footer="0.3"/>
  <pageSetup orientation="landscape" r:id="rId2"/>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7" style="14" customWidth="1"/>
    <col min="3" max="3" width="59" style="14" customWidth="1"/>
    <col min="4" max="4" width="14.7109375" style="14" customWidth="1"/>
    <col min="5"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125</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5"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Section6" display="Return to Income Expense Report"/>
  </hyperlinks>
  <printOptions verticalCentered="1"/>
  <pageMargins left="0.7" right="0.7" top="0.49968750000000001" bottom="0.75" header="0.25" footer="0.3"/>
  <pageSetup orientation="landscape" r:id="rId2"/>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4.7109375" style="14" customWidth="1"/>
    <col min="3" max="3" width="59.42578125" style="14" customWidth="1"/>
    <col min="4" max="16384" width="9.140625" style="14"/>
  </cols>
  <sheetData>
    <row r="1" spans="1:18" s="10" customFormat="1" ht="85.5" customHeight="1">
      <c r="A1" s="212" t="s">
        <v>118</v>
      </c>
      <c r="B1" s="212"/>
      <c r="C1" s="212"/>
      <c r="D1" s="213"/>
      <c r="E1" s="213"/>
      <c r="F1" s="213"/>
      <c r="G1" s="213"/>
      <c r="H1" s="112"/>
      <c r="I1" s="112"/>
      <c r="J1" s="112"/>
      <c r="K1" s="112"/>
      <c r="L1" s="16"/>
      <c r="M1" s="16"/>
      <c r="N1" s="16"/>
      <c r="O1" s="16"/>
      <c r="P1" s="16"/>
      <c r="Q1" s="16"/>
      <c r="R1" s="16"/>
    </row>
    <row r="2" spans="1:18" ht="18.75" customHeight="1">
      <c r="A2" s="206" t="s">
        <v>124</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customSheetViews>
    <customSheetView guid="{3687FC8B-D0CB-43C9-8478-35DEF022FA39}" showPageBreaks="1" printArea="1" state="hidden" view="pageLayout" topLeftCell="B1">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A2:C2"/>
    <mergeCell ref="B25:C25"/>
    <mergeCell ref="D1:G1"/>
    <mergeCell ref="A1:C1"/>
  </mergeCells>
  <conditionalFormatting sqref="B4:C23">
    <cfRule type="containsBlanks" dxfId="4"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Administrative___General" display="Return to Income Expense Report"/>
  </hyperlinks>
  <printOptions verticalCentered="1"/>
  <pageMargins left="0.7" right="0.7" top="0.49562499999999998" bottom="0.75" header="0.25" footer="0.3"/>
  <pageSetup orientation="landscape" r:id="rId2"/>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pageSetUpPr fitToPage="1"/>
  </sheetPr>
  <dimension ref="A1:R25"/>
  <sheetViews>
    <sheetView zoomScaleNormal="100" workbookViewId="0">
      <selection activeCell="B3" sqref="B3"/>
    </sheetView>
  </sheetViews>
  <sheetFormatPr defaultRowHeight="15"/>
  <cols>
    <col min="1" max="1" width="5.7109375" style="14" bestFit="1" customWidth="1"/>
    <col min="2" max="2" width="48" style="14" customWidth="1"/>
    <col min="3" max="3" width="62.42578125" style="14" customWidth="1"/>
    <col min="4" max="16384" width="9.140625" style="14"/>
  </cols>
  <sheetData>
    <row r="1" spans="1:18" s="10" customFormat="1" ht="85.5" customHeight="1">
      <c r="A1" s="114"/>
      <c r="B1" s="212" t="s">
        <v>118</v>
      </c>
      <c r="C1" s="212"/>
      <c r="D1" s="213"/>
      <c r="E1" s="213"/>
      <c r="F1" s="213"/>
      <c r="G1" s="213"/>
      <c r="H1" s="112"/>
      <c r="I1" s="112"/>
      <c r="J1" s="112"/>
      <c r="K1" s="112"/>
      <c r="L1" s="16"/>
      <c r="M1" s="16"/>
      <c r="N1" s="16"/>
      <c r="O1" s="16"/>
      <c r="P1" s="16"/>
      <c r="Q1" s="16"/>
      <c r="R1" s="16"/>
    </row>
    <row r="2" spans="1:18" ht="18.75" customHeight="1">
      <c r="A2" s="206" t="s">
        <v>123</v>
      </c>
      <c r="B2" s="207"/>
      <c r="C2" s="208"/>
    </row>
    <row r="3" spans="1:18">
      <c r="A3" s="33"/>
      <c r="B3" s="34" t="s">
        <v>25</v>
      </c>
      <c r="C3" s="35" t="s">
        <v>82</v>
      </c>
    </row>
    <row r="4" spans="1:18">
      <c r="A4" s="33">
        <v>1</v>
      </c>
      <c r="B4" s="31"/>
      <c r="C4" s="32"/>
    </row>
    <row r="5" spans="1:18">
      <c r="A5" s="33">
        <v>2</v>
      </c>
      <c r="B5" s="31"/>
      <c r="C5" s="32"/>
    </row>
    <row r="6" spans="1:18">
      <c r="A6" s="33">
        <v>3</v>
      </c>
      <c r="B6" s="31"/>
      <c r="C6" s="32"/>
    </row>
    <row r="7" spans="1:18">
      <c r="A7" s="33">
        <v>4</v>
      </c>
      <c r="B7" s="31"/>
      <c r="C7" s="32"/>
    </row>
    <row r="8" spans="1:18">
      <c r="A8" s="33">
        <v>5</v>
      </c>
      <c r="B8" s="31"/>
      <c r="C8" s="32"/>
    </row>
    <row r="9" spans="1:18">
      <c r="A9" s="33">
        <v>6</v>
      </c>
      <c r="B9" s="31"/>
      <c r="C9" s="32"/>
    </row>
    <row r="10" spans="1:18">
      <c r="A10" s="33">
        <v>7</v>
      </c>
      <c r="B10" s="31"/>
      <c r="C10" s="32"/>
    </row>
    <row r="11" spans="1:18">
      <c r="A11" s="33">
        <v>8</v>
      </c>
      <c r="B11" s="31"/>
      <c r="C11" s="32"/>
    </row>
    <row r="12" spans="1:18">
      <c r="A12" s="33">
        <v>9</v>
      </c>
      <c r="B12" s="31"/>
      <c r="C12" s="32"/>
    </row>
    <row r="13" spans="1:18">
      <c r="A13" s="33">
        <v>10</v>
      </c>
      <c r="B13" s="31"/>
      <c r="C13" s="32"/>
    </row>
    <row r="14" spans="1:18">
      <c r="A14" s="33">
        <v>11</v>
      </c>
      <c r="B14" s="31"/>
      <c r="C14" s="32"/>
    </row>
    <row r="15" spans="1:18">
      <c r="A15" s="33">
        <v>12</v>
      </c>
      <c r="B15" s="31"/>
      <c r="C15" s="32"/>
    </row>
    <row r="16" spans="1:18">
      <c r="A16" s="33">
        <v>13</v>
      </c>
      <c r="B16" s="31"/>
      <c r="C16" s="32"/>
    </row>
    <row r="17" spans="1:3">
      <c r="A17" s="33">
        <v>14</v>
      </c>
      <c r="B17" s="31"/>
      <c r="C17" s="32"/>
    </row>
    <row r="18" spans="1:3">
      <c r="A18" s="33">
        <v>15</v>
      </c>
      <c r="B18" s="31"/>
      <c r="C18" s="32"/>
    </row>
    <row r="19" spans="1:3">
      <c r="A19" s="33">
        <v>16</v>
      </c>
      <c r="B19" s="31"/>
      <c r="C19" s="32"/>
    </row>
    <row r="20" spans="1:3">
      <c r="A20" s="33">
        <v>17</v>
      </c>
      <c r="B20" s="31"/>
      <c r="C20" s="32"/>
    </row>
    <row r="21" spans="1:3">
      <c r="A21" s="33">
        <v>18</v>
      </c>
      <c r="B21" s="31"/>
      <c r="C21" s="32"/>
    </row>
    <row r="22" spans="1:3">
      <c r="A22" s="33">
        <v>19</v>
      </c>
      <c r="B22" s="31"/>
      <c r="C22" s="32"/>
    </row>
    <row r="23" spans="1:3">
      <c r="A23" s="33">
        <v>20</v>
      </c>
      <c r="B23" s="31"/>
      <c r="C23" s="32"/>
    </row>
    <row r="24" spans="1:3">
      <c r="C24" s="15">
        <f>SUM(C4:C23)</f>
        <v>0</v>
      </c>
    </row>
    <row r="25" spans="1:3" ht="18.75">
      <c r="B25" s="209" t="s">
        <v>44</v>
      </c>
      <c r="C25" s="209"/>
    </row>
  </sheetData>
  <sheetProtection password="C765" sheet="1" objects="1" scenarios="1" formatColumns="0" formatRows="0"/>
  <mergeCells count="4">
    <mergeCell ref="A2:C2"/>
    <mergeCell ref="B25:C25"/>
    <mergeCell ref="B1:C1"/>
    <mergeCell ref="D1:G1"/>
  </mergeCells>
  <conditionalFormatting sqref="B4:C23">
    <cfRule type="containsBlanks" dxfId="3" priority="1">
      <formula>LEN(TRIM(B4))=0</formula>
    </cfRule>
  </conditionalFormatting>
  <dataValidations count="1">
    <dataValidation type="whole" operator="greaterThanOrEqual" allowBlank="1" showInputMessage="1" showErrorMessage="1" error="Please enter a whole number.  If you do not collect revenue from this source, type &quot;0&quot;." sqref="C4:C23">
      <formula1>0</formula1>
    </dataValidation>
  </dataValidations>
  <hyperlinks>
    <hyperlink ref="B25" location="IncomeExpenseReport!A1" display="Return to Income Expense Report"/>
    <hyperlink ref="B25:C25" location="Franchise_Fee" display="Return to Income Expense Report"/>
  </hyperlinks>
  <printOptions verticalCentered="1"/>
  <pageMargins left="0.7" right="0.7" top="0.50375000000000003" bottom="0.75" header="0.25" footer="0.3"/>
  <pageSetup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pageSetUpPr fitToPage="1"/>
  </sheetPr>
  <dimension ref="A1:R29"/>
  <sheetViews>
    <sheetView zoomScaleNormal="100" workbookViewId="0">
      <selection activeCell="B3" sqref="B3"/>
    </sheetView>
  </sheetViews>
  <sheetFormatPr defaultRowHeight="15"/>
  <cols>
    <col min="1" max="1" width="5.7109375" style="14" bestFit="1" customWidth="1"/>
    <col min="2" max="2" width="32.7109375" style="14" customWidth="1"/>
    <col min="3" max="3" width="25.7109375" style="14" customWidth="1"/>
    <col min="4" max="4" width="26.28515625" style="14" customWidth="1"/>
    <col min="5" max="5" width="32.7109375" style="14" customWidth="1"/>
    <col min="6" max="6" width="28" style="14" customWidth="1"/>
    <col min="7" max="16384" width="9.140625" style="14"/>
  </cols>
  <sheetData>
    <row r="1" spans="1:18" s="10" customFormat="1" ht="85.5" customHeight="1">
      <c r="A1" s="114"/>
      <c r="B1" s="212" t="s">
        <v>118</v>
      </c>
      <c r="C1" s="212"/>
      <c r="D1" s="212"/>
      <c r="E1" s="212"/>
      <c r="F1" s="212"/>
      <c r="G1" s="121"/>
      <c r="H1" s="112"/>
      <c r="I1" s="112"/>
      <c r="J1" s="112"/>
      <c r="K1" s="112"/>
      <c r="L1" s="16"/>
      <c r="M1" s="16"/>
      <c r="N1" s="16"/>
      <c r="O1" s="16"/>
      <c r="P1" s="16"/>
      <c r="Q1" s="16"/>
      <c r="R1" s="16"/>
    </row>
    <row r="2" spans="1:18" ht="18.75" customHeight="1">
      <c r="A2" s="206" t="s">
        <v>122</v>
      </c>
      <c r="B2" s="207"/>
      <c r="C2" s="207"/>
      <c r="D2" s="207"/>
      <c r="E2" s="207"/>
      <c r="F2" s="208"/>
    </row>
    <row r="3" spans="1:18">
      <c r="A3" s="33"/>
      <c r="B3" s="34" t="s">
        <v>134</v>
      </c>
      <c r="C3" s="35" t="s">
        <v>131</v>
      </c>
      <c r="D3" s="35" t="s">
        <v>132</v>
      </c>
      <c r="E3" s="35" t="s">
        <v>133</v>
      </c>
      <c r="F3" s="35" t="s">
        <v>135</v>
      </c>
    </row>
    <row r="4" spans="1:18">
      <c r="A4" s="33">
        <v>1</v>
      </c>
      <c r="B4" s="31"/>
      <c r="C4" s="128"/>
      <c r="D4" s="128"/>
      <c r="E4" s="152"/>
      <c r="F4" s="32"/>
    </row>
    <row r="5" spans="1:18">
      <c r="A5" s="33">
        <v>2</v>
      </c>
      <c r="B5" s="31"/>
      <c r="C5" s="128"/>
      <c r="D5" s="128"/>
      <c r="E5" s="152"/>
      <c r="F5" s="32"/>
    </row>
    <row r="6" spans="1:18">
      <c r="A6" s="33">
        <v>3</v>
      </c>
      <c r="B6" s="31"/>
      <c r="C6" s="128"/>
      <c r="D6" s="128"/>
      <c r="E6" s="152"/>
      <c r="F6" s="32"/>
    </row>
    <row r="7" spans="1:18">
      <c r="A7" s="33">
        <v>4</v>
      </c>
      <c r="B7" s="31"/>
      <c r="C7" s="128"/>
      <c r="D7" s="128"/>
      <c r="E7" s="152"/>
      <c r="F7" s="32"/>
    </row>
    <row r="8" spans="1:18">
      <c r="A8" s="33">
        <v>5</v>
      </c>
      <c r="B8" s="31"/>
      <c r="C8" s="128"/>
      <c r="D8" s="128"/>
      <c r="E8" s="152"/>
      <c r="F8" s="32"/>
    </row>
    <row r="9" spans="1:18">
      <c r="A9" s="33">
        <v>6</v>
      </c>
      <c r="B9" s="31"/>
      <c r="C9" s="128"/>
      <c r="D9" s="128"/>
      <c r="E9" s="152"/>
      <c r="F9" s="32"/>
    </row>
    <row r="10" spans="1:18">
      <c r="A10" s="33">
        <v>7</v>
      </c>
      <c r="B10" s="31"/>
      <c r="C10" s="128"/>
      <c r="D10" s="128"/>
      <c r="E10" s="152"/>
      <c r="F10" s="32"/>
    </row>
    <row r="11" spans="1:18">
      <c r="A11" s="33">
        <v>8</v>
      </c>
      <c r="B11" s="31"/>
      <c r="C11" s="128"/>
      <c r="D11" s="128"/>
      <c r="E11" s="152"/>
      <c r="F11" s="32"/>
    </row>
    <row r="12" spans="1:18">
      <c r="A12" s="33">
        <v>9</v>
      </c>
      <c r="B12" s="31"/>
      <c r="C12" s="128"/>
      <c r="D12" s="128"/>
      <c r="E12" s="152"/>
      <c r="F12" s="32"/>
    </row>
    <row r="13" spans="1:18">
      <c r="A13" s="33">
        <v>10</v>
      </c>
      <c r="B13" s="31"/>
      <c r="C13" s="128"/>
      <c r="D13" s="128"/>
      <c r="E13" s="152"/>
      <c r="F13" s="32"/>
    </row>
    <row r="14" spans="1:18">
      <c r="A14" s="33">
        <v>11</v>
      </c>
      <c r="B14" s="31"/>
      <c r="C14" s="128"/>
      <c r="D14" s="128"/>
      <c r="E14" s="152"/>
      <c r="F14" s="32"/>
    </row>
    <row r="15" spans="1:18">
      <c r="A15" s="33">
        <v>12</v>
      </c>
      <c r="B15" s="31"/>
      <c r="C15" s="128"/>
      <c r="D15" s="128"/>
      <c r="E15" s="152"/>
      <c r="F15" s="32"/>
    </row>
    <row r="16" spans="1:18">
      <c r="A16" s="33">
        <v>13</v>
      </c>
      <c r="B16" s="31"/>
      <c r="C16" s="128"/>
      <c r="D16" s="128"/>
      <c r="E16" s="152"/>
      <c r="F16" s="32"/>
    </row>
    <row r="17" spans="1:6">
      <c r="A17" s="33">
        <v>14</v>
      </c>
      <c r="B17" s="31"/>
      <c r="C17" s="128"/>
      <c r="D17" s="128"/>
      <c r="E17" s="152"/>
      <c r="F17" s="32"/>
    </row>
    <row r="18" spans="1:6">
      <c r="A18" s="33">
        <v>15</v>
      </c>
      <c r="B18" s="31"/>
      <c r="C18" s="128"/>
      <c r="D18" s="128"/>
      <c r="E18" s="152"/>
      <c r="F18" s="32"/>
    </row>
    <row r="19" spans="1:6">
      <c r="A19" s="33">
        <v>16</v>
      </c>
      <c r="B19" s="31"/>
      <c r="C19" s="128"/>
      <c r="D19" s="128"/>
      <c r="E19" s="152"/>
      <c r="F19" s="32"/>
    </row>
    <row r="20" spans="1:6">
      <c r="A20" s="33">
        <v>17</v>
      </c>
      <c r="B20" s="31"/>
      <c r="C20" s="128"/>
      <c r="D20" s="128"/>
      <c r="E20" s="152"/>
      <c r="F20" s="32"/>
    </row>
    <row r="21" spans="1:6">
      <c r="A21" s="33">
        <v>18</v>
      </c>
      <c r="B21" s="31"/>
      <c r="C21" s="128"/>
      <c r="D21" s="128"/>
      <c r="E21" s="152"/>
      <c r="F21" s="32"/>
    </row>
    <row r="22" spans="1:6">
      <c r="A22" s="33">
        <v>19</v>
      </c>
      <c r="B22" s="31"/>
      <c r="C22" s="128"/>
      <c r="D22" s="128"/>
      <c r="E22" s="152"/>
      <c r="F22" s="32"/>
    </row>
    <row r="23" spans="1:6">
      <c r="A23" s="33">
        <v>20</v>
      </c>
      <c r="B23" s="31"/>
      <c r="C23" s="128"/>
      <c r="D23" s="128"/>
      <c r="E23" s="152"/>
      <c r="F23" s="32"/>
    </row>
    <row r="24" spans="1:6">
      <c r="F24" s="15">
        <f>SUM(F4:F23)</f>
        <v>0</v>
      </c>
    </row>
    <row r="25" spans="1:6" ht="18.75">
      <c r="B25" s="209" t="s">
        <v>44</v>
      </c>
      <c r="C25" s="209"/>
      <c r="D25" s="209"/>
      <c r="E25" s="209"/>
      <c r="F25" s="209"/>
    </row>
    <row r="29" spans="1:6">
      <c r="D29" s="122"/>
    </row>
  </sheetData>
  <sheetProtection password="C765" sheet="1" objects="1" scenarios="1" formatColumns="0" formatRows="0"/>
  <customSheetViews>
    <customSheetView guid="{3687FC8B-D0CB-43C9-8478-35DEF022FA39}" showPageBreaks="1" printArea="1" state="hidden" view="pageLayout">
      <selection activeCell="C6" sqref="C6:K6"/>
      <pageMargins left="0.7" right="0.7"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3">
    <mergeCell ref="A2:F2"/>
    <mergeCell ref="B25:F25"/>
    <mergeCell ref="B1:F1"/>
  </mergeCells>
  <conditionalFormatting sqref="B4:F23">
    <cfRule type="containsBlanks" dxfId="2" priority="1">
      <formula>LEN(TRIM(B4))=0</formula>
    </cfRule>
  </conditionalFormatting>
  <dataValidations count="3">
    <dataValidation type="whole" operator="greaterThanOrEqual" allowBlank="1" showInputMessage="1" showErrorMessage="1" error="Please enter a whole number.  If you do not collect revenue from this source, type &quot;0&quot;." sqref="F4:F23">
      <formula1>0</formula1>
    </dataValidation>
    <dataValidation type="date" operator="greaterThanOrEqual" allowBlank="1" showInputMessage="1" showErrorMessage="1" error="Please enter a date mm/dd/yyyy after 1/1/2015." sqref="C4:D23">
      <formula1>42005</formula1>
    </dataValidation>
    <dataValidation operator="greaterThan" allowBlank="1" showInputMessage="1" showErrorMessage="1" sqref="E4:E23"/>
  </dataValidations>
  <hyperlinks>
    <hyperlink ref="B25" location="IncomeExpenseReport!A1" display="Return to Income Expense Report"/>
    <hyperlink ref="B25:F25" location="Franchise_Fee" display="Return to Income Expense Report"/>
  </hyperlinks>
  <printOptions verticalCentered="1"/>
  <pageMargins left="0.7" right="0.7" top="0.50375000000000003" bottom="0.75" header="0.25" footer="0.3"/>
  <pageSetup scale="80" orientation="landscape" r:id="rId2"/>
  <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L13"/>
  <sheetViews>
    <sheetView zoomScaleNormal="100" zoomScalePageLayoutView="80" workbookViewId="0">
      <selection activeCell="A4" sqref="A4:K4"/>
    </sheetView>
  </sheetViews>
  <sheetFormatPr defaultRowHeight="15.75"/>
  <cols>
    <col min="1" max="1" width="14.85546875" style="123" customWidth="1"/>
    <col min="2" max="3" width="169.28515625" style="126" customWidth="1"/>
    <col min="4" max="4" width="13.85546875" style="123" customWidth="1"/>
    <col min="5" max="5" width="9.140625" style="123" customWidth="1"/>
    <col min="6" max="12" width="9.140625" style="124"/>
    <col min="13" max="16384" width="9.140625" style="123"/>
  </cols>
  <sheetData>
    <row r="1" spans="1:12" ht="94.5" customHeight="1">
      <c r="B1" s="127" t="s">
        <v>118</v>
      </c>
      <c r="C1" s="127"/>
      <c r="D1" s="214"/>
      <c r="E1" s="214"/>
    </row>
    <row r="2" spans="1:12" s="126" customFormat="1" ht="50.1" customHeight="1" thickBot="1">
      <c r="A2" s="105"/>
      <c r="B2" s="147" t="s">
        <v>116</v>
      </c>
      <c r="C2" s="148"/>
      <c r="D2" s="148"/>
      <c r="E2" s="148"/>
      <c r="F2" s="148"/>
      <c r="G2" s="148"/>
      <c r="H2" s="149"/>
      <c r="I2" s="149"/>
      <c r="J2" s="149"/>
      <c r="K2" s="149"/>
      <c r="L2" s="149"/>
    </row>
    <row r="3" spans="1:12" s="149" customFormat="1" ht="158.25" customHeight="1" thickBot="1">
      <c r="A3" s="150" t="s">
        <v>117</v>
      </c>
      <c r="B3" s="145"/>
      <c r="C3" s="146"/>
      <c r="D3" s="146"/>
      <c r="E3" s="146"/>
      <c r="F3" s="125"/>
      <c r="G3" s="125"/>
    </row>
    <row r="4" spans="1:12" s="126" customFormat="1" ht="52.5" customHeight="1">
      <c r="A4" s="105"/>
      <c r="B4" s="104" t="s">
        <v>154</v>
      </c>
      <c r="C4" s="125"/>
      <c r="D4" s="125"/>
      <c r="E4" s="151" t="str">
        <f>IF(Management_Fee&gt;0, "Alert", "Check")</f>
        <v>Check</v>
      </c>
      <c r="F4" s="151" t="str">
        <f>IF(Return_on_Personal_Property&gt;0, "Alert", "Check")</f>
        <v>Check</v>
      </c>
      <c r="G4" s="151" t="str">
        <f>IF(Return_of_Personal_Property&gt;0, "Alert", "Check")</f>
        <v>Check</v>
      </c>
      <c r="H4" s="151" t="str">
        <f>IF(Franchise_Fee&gt;0, "Alert", "Check")</f>
        <v>Check</v>
      </c>
      <c r="I4" s="149"/>
      <c r="J4" s="149"/>
      <c r="K4" s="149"/>
      <c r="L4" s="149"/>
    </row>
    <row r="5" spans="1:12" s="172" customFormat="1" ht="39.75" customHeight="1">
      <c r="A5" s="168"/>
      <c r="B5" s="169" t="str">
        <f>IF(Management_Fee&gt;0, "*You indicated that you have a management fee, please provide your management contract abstracts in a separate attachment with your PID as part of the file name such as 0102223334_MgmtFee"," ")</f>
        <v xml:space="preserve"> </v>
      </c>
      <c r="C5" s="170"/>
      <c r="D5" s="170"/>
      <c r="E5" s="170"/>
      <c r="F5" s="170"/>
      <c r="G5" s="170"/>
      <c r="H5" s="171"/>
      <c r="I5" s="171"/>
      <c r="J5" s="171"/>
      <c r="K5" s="171"/>
      <c r="L5" s="171"/>
    </row>
    <row r="6" spans="1:12" s="172" customFormat="1" ht="36" customHeight="1">
      <c r="A6" s="168"/>
      <c r="B6" s="169" t="str">
        <f>IF(Return_on_Personal_Property&gt;0, "*You indicated that you have a return on personal property, please provide detailed documentation in a separate attachment with your PID as part of the file name such as 0102223334_RetOnPP."," ")</f>
        <v xml:space="preserve"> </v>
      </c>
      <c r="C6" s="170"/>
      <c r="D6" s="170"/>
      <c r="E6" s="170"/>
      <c r="F6" s="170"/>
      <c r="G6" s="170"/>
      <c r="H6" s="171"/>
      <c r="I6" s="171"/>
      <c r="J6" s="171"/>
      <c r="K6" s="171"/>
      <c r="L6" s="171"/>
    </row>
    <row r="7" spans="1:12" s="172" customFormat="1" ht="38.25" customHeight="1">
      <c r="A7" s="168"/>
      <c r="B7" s="169" t="str">
        <f>IF(Return_of_Personal_Property&gt;0, "*You indicated that you have a return of personal property, please provide detailed documentation in a separate attachment with your PID as part of the file name such as 0102223334_RetOfPP."," ")</f>
        <v xml:space="preserve"> </v>
      </c>
      <c r="C7" s="170"/>
      <c r="D7" s="170"/>
      <c r="E7" s="170"/>
      <c r="F7" s="170"/>
      <c r="G7" s="170"/>
      <c r="H7" s="171"/>
      <c r="I7" s="171"/>
      <c r="J7" s="171"/>
      <c r="K7" s="171"/>
      <c r="L7" s="171"/>
    </row>
    <row r="8" spans="1:12" s="172" customFormat="1" ht="41.25" customHeight="1">
      <c r="A8" s="168"/>
      <c r="B8" s="169" t="str">
        <f>IF(Franchise_Fee&gt;0, "*You indicated that you have a management fee, please provide your management contract abstracts in a separate attachment with your PID as part of the file name such as 0102223334_FranchiseFee."," ")</f>
        <v xml:space="preserve"> </v>
      </c>
      <c r="C8" s="170"/>
      <c r="D8" s="170"/>
      <c r="E8" s="170"/>
      <c r="F8" s="170"/>
      <c r="G8" s="170"/>
      <c r="H8" s="171"/>
      <c r="I8" s="171"/>
      <c r="J8" s="171"/>
      <c r="K8" s="171"/>
      <c r="L8" s="171"/>
    </row>
    <row r="9" spans="1:12" ht="26.25" customHeight="1">
      <c r="A9" s="217"/>
      <c r="B9" s="217"/>
    </row>
    <row r="10" spans="1:12" ht="30.75" customHeight="1">
      <c r="A10" s="217"/>
      <c r="B10" s="217"/>
    </row>
    <row r="11" spans="1:12" ht="24.75">
      <c r="A11" s="216" t="s">
        <v>148</v>
      </c>
      <c r="B11" s="216"/>
      <c r="C11" s="143"/>
      <c r="D11" s="143"/>
      <c r="E11" s="143"/>
      <c r="F11" s="143"/>
      <c r="G11" s="143"/>
    </row>
    <row r="12" spans="1:12" ht="24.75">
      <c r="A12" s="215">
        <f ca="1">LastSavedTimeStamp()</f>
        <v>42789.494768518518</v>
      </c>
      <c r="B12" s="215"/>
      <c r="C12" s="144"/>
      <c r="D12" s="144"/>
      <c r="E12" s="144"/>
      <c r="F12" s="144"/>
      <c r="G12" s="144"/>
    </row>
    <row r="13" spans="1:12">
      <c r="B13" s="173"/>
    </row>
  </sheetData>
  <sheetProtection password="C765" sheet="1" objects="1" scenarios="1" formatColumns="0" formatRows="0"/>
  <customSheetViews>
    <customSheetView guid="{3687FC8B-D0CB-43C9-8478-35DEF022FA39}" scale="80" showPageBreaks="1" state="hidden" view="pageLayout">
      <selection activeCell="A11" sqref="A11:F11"/>
      <pageMargins left="0.7" right="1.1832031249999999" top="0.6640625" bottom="0.75" header="0.25" footer="0.3"/>
      <printOptions verticalCentered="1"/>
      <pageSetup scale="39" orientation="portrait" r:id="rId1"/>
      <headerFooter>
        <oddHeader>&amp;L&amp;G&amp;C&amp;13FY 2018 
City of Boston
38D Property Tax Return
Form H: Hotel/Motel/Bed &amp; Breakfast&amp;R&amp;13Mailing Date: February 1, 2017</oddHeader>
        <oddFooter>&amp;CPage &amp;P of &amp;N</oddFooter>
      </headerFooter>
    </customSheetView>
  </customSheetViews>
  <mergeCells count="4">
    <mergeCell ref="D1:E1"/>
    <mergeCell ref="A12:B12"/>
    <mergeCell ref="A11:B11"/>
    <mergeCell ref="A9:B10"/>
  </mergeCells>
  <conditionalFormatting sqref="C13">
    <cfRule type="expression" dxfId="1" priority="2">
      <formula>$E$49&gt;0</formula>
    </cfRule>
  </conditionalFormatting>
  <conditionalFormatting sqref="B14:C14">
    <cfRule type="expression" dxfId="0" priority="1">
      <formula>$E$55&gt;0</formula>
    </cfRule>
  </conditionalFormatting>
  <printOptions verticalCentered="1"/>
  <pageMargins left="0.7" right="1.1832031249999999" top="5.5859375000000003E-2" bottom="0.75" header="0.25" footer="0.3"/>
  <pageSetup scale="63" orientation="landscape" r:id="rId2"/>
  <drawing r:id="rId3"/>
  <legacyDrawing r:id="rId4"/>
  <controls>
    <mc:AlternateContent xmlns:mc="http://schemas.openxmlformats.org/markup-compatibility/2006">
      <mc:Choice Requires="x14">
        <control shapeId="4097" r:id="rId5" name="SAVE">
          <controlPr defaultSize="0" print="0" autoLine="0" r:id="rId6">
            <anchor>
              <from>
                <xdr:col>1</xdr:col>
                <xdr:colOff>3133725</xdr:colOff>
                <xdr:row>8</xdr:row>
                <xdr:rowOff>114300</xdr:rowOff>
              </from>
              <to>
                <xdr:col>1</xdr:col>
                <xdr:colOff>4733925</xdr:colOff>
                <xdr:row>9</xdr:row>
                <xdr:rowOff>219075</xdr:rowOff>
              </to>
            </anchor>
          </controlPr>
        </control>
      </mc:Choice>
      <mc:Fallback>
        <control shapeId="4097" r:id="rId5" name="SAVE"/>
      </mc:Fallback>
    </mc:AlternateContent>
    <mc:AlternateContent xmlns:mc="http://schemas.openxmlformats.org/markup-compatibility/2006">
      <mc:Choice Requires="x14">
        <control shapeId="4098" r:id="rId7" name="PrintWorkbook">
          <controlPr defaultSize="0" print="0" autoLine="0" r:id="rId8">
            <anchor>
              <from>
                <xdr:col>1</xdr:col>
                <xdr:colOff>5419725</xdr:colOff>
                <xdr:row>8</xdr:row>
                <xdr:rowOff>95250</xdr:rowOff>
              </from>
              <to>
                <xdr:col>1</xdr:col>
                <xdr:colOff>7191375</xdr:colOff>
                <xdr:row>9</xdr:row>
                <xdr:rowOff>200025</xdr:rowOff>
              </to>
            </anchor>
          </controlPr>
        </control>
      </mc:Choice>
      <mc:Fallback>
        <control shapeId="4098" r:id="rId7" name="PrintWorkbook"/>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88</vt:i4>
      </vt:variant>
    </vt:vector>
  </HeadingPairs>
  <TitlesOfParts>
    <vt:vector size="99" baseType="lpstr">
      <vt:lpstr>38D_Overview</vt:lpstr>
      <vt:lpstr>IncomeExpenseReport</vt:lpstr>
      <vt:lpstr>Section 1</vt:lpstr>
      <vt:lpstr>Section 2</vt:lpstr>
      <vt:lpstr>Section 3</vt:lpstr>
      <vt:lpstr>Section 4</vt:lpstr>
      <vt:lpstr>Section 5</vt:lpstr>
      <vt:lpstr>Section 6</vt:lpstr>
      <vt:lpstr>Section 7</vt:lpstr>
      <vt:lpstr>Section 8</vt:lpstr>
      <vt:lpstr>SummarySheet</vt:lpstr>
      <vt:lpstr>Administrative___General</vt:lpstr>
      <vt:lpstr>Alert</vt:lpstr>
      <vt:lpstr>All_Blanks</vt:lpstr>
      <vt:lpstr>AnswerNeeded</vt:lpstr>
      <vt:lpstr>Automated</vt:lpstr>
      <vt:lpstr>Available_Room_Nights</vt:lpstr>
      <vt:lpstr>Average_Daily_Rate__ADR</vt:lpstr>
      <vt:lpstr>BasicData</vt:lpstr>
      <vt:lpstr>Beverage</vt:lpstr>
      <vt:lpstr>Beverage_Revenue</vt:lpstr>
      <vt:lpstr>Capital_Expenditures</vt:lpstr>
      <vt:lpstr>Cost_of_Beverage</vt:lpstr>
      <vt:lpstr>Cost_of_Food</vt:lpstr>
      <vt:lpstr>Data</vt:lpstr>
      <vt:lpstr>Departmental_Other_Expenses</vt:lpstr>
      <vt:lpstr>Food</vt:lpstr>
      <vt:lpstr>Food___Beverage_Other_Income</vt:lpstr>
      <vt:lpstr>Food_Revenue</vt:lpstr>
      <vt:lpstr>Franchise_Fee</vt:lpstr>
      <vt:lpstr>General_Information</vt:lpstr>
      <vt:lpstr>Ground_Rent</vt:lpstr>
      <vt:lpstr>Hotel_Operated_Shop_Revenue</vt:lpstr>
      <vt:lpstr>Incentive_Management_Fee</vt:lpstr>
      <vt:lpstr>IncomeExpenseReport</vt:lpstr>
      <vt:lpstr>Insurance</vt:lpstr>
      <vt:lpstr>Leased_Space_Revenue</vt:lpstr>
      <vt:lpstr>LeaseTypes</vt:lpstr>
      <vt:lpstr>Management_Fee</vt:lpstr>
      <vt:lpstr>Marketing</vt:lpstr>
      <vt:lpstr>Meeting_Rooms</vt:lpstr>
      <vt:lpstr>Meeting_Rooms_revenue</vt:lpstr>
      <vt:lpstr>Miscellaneous_Other_Expenses</vt:lpstr>
      <vt:lpstr>Municipal_Charges</vt:lpstr>
      <vt:lpstr>Net_Operating_Income</vt:lpstr>
      <vt:lpstr>NoBlanks</vt:lpstr>
      <vt:lpstr>Number_of_Rooms</vt:lpstr>
      <vt:lpstr>Other</vt:lpstr>
      <vt:lpstr>Other_Revenue</vt:lpstr>
      <vt:lpstr>OwnerSig</vt:lpstr>
      <vt:lpstr>Parking_Revenue</vt:lpstr>
      <vt:lpstr>Percent_Occupancy</vt:lpstr>
      <vt:lpstr>PreparerSig</vt:lpstr>
      <vt:lpstr>'38D_Overview'!Print_Area</vt:lpstr>
      <vt:lpstr>IncomeExpenseReport!Print_Area</vt:lpstr>
      <vt:lpstr>'Section 1'!Print_Area</vt:lpstr>
      <vt:lpstr>'Section 2'!Print_Area</vt:lpstr>
      <vt:lpstr>'Section 3'!Print_Area</vt:lpstr>
      <vt:lpstr>'Section 4'!Print_Area</vt:lpstr>
      <vt:lpstr>'Section 5'!Print_Area</vt:lpstr>
      <vt:lpstr>'Section 6'!Print_Area</vt:lpstr>
      <vt:lpstr>'Section 7'!Print_Area</vt:lpstr>
      <vt:lpstr>'Section 8'!Print_Area</vt:lpstr>
      <vt:lpstr>SummarySheet!Print_Area</vt:lpstr>
      <vt:lpstr>Repairs___Maintenance</vt:lpstr>
      <vt:lpstr>ReportCategories</vt:lpstr>
      <vt:lpstr>Required_Overview</vt:lpstr>
      <vt:lpstr>Required_Report</vt:lpstr>
      <vt:lpstr>Reserve_Replacement</vt:lpstr>
      <vt:lpstr>Return_of_Personal_Property</vt:lpstr>
      <vt:lpstr>Return_on_Personal_Property</vt:lpstr>
      <vt:lpstr>Revenue_Per_Available_Room__RevPAR</vt:lpstr>
      <vt:lpstr>Rooms</vt:lpstr>
      <vt:lpstr>Rooms_Revenue</vt:lpstr>
      <vt:lpstr>Section1</vt:lpstr>
      <vt:lpstr>Section1Link</vt:lpstr>
      <vt:lpstr>Section2</vt:lpstr>
      <vt:lpstr>Section2Link</vt:lpstr>
      <vt:lpstr>Section3</vt:lpstr>
      <vt:lpstr>Section3Link</vt:lpstr>
      <vt:lpstr>Section4</vt:lpstr>
      <vt:lpstr>Section4Link</vt:lpstr>
      <vt:lpstr>Section5</vt:lpstr>
      <vt:lpstr>Section5Link</vt:lpstr>
      <vt:lpstr>Section6</vt:lpstr>
      <vt:lpstr>Section6Link</vt:lpstr>
      <vt:lpstr>Section7</vt:lpstr>
      <vt:lpstr>Section7Link</vt:lpstr>
      <vt:lpstr>Section8</vt:lpstr>
      <vt:lpstr>Section8Link</vt:lpstr>
      <vt:lpstr>Telephone</vt:lpstr>
      <vt:lpstr>Telephone_Revenue</vt:lpstr>
      <vt:lpstr>Total_Expense</vt:lpstr>
      <vt:lpstr>Total_Fixed</vt:lpstr>
      <vt:lpstr>Total_Other</vt:lpstr>
      <vt:lpstr>Total_Revenue</vt:lpstr>
      <vt:lpstr>Total_Unallocated</vt:lpstr>
      <vt:lpstr>TotalBlanks</vt:lpstr>
      <vt:lpstr>Utilities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Rautenberg, Karyn</dc:creator>
  <cp:lastModifiedBy>Rautenberg, Karyn</cp:lastModifiedBy>
  <cp:lastPrinted>2016-12-22T18:25:27Z</cp:lastPrinted>
  <dcterms:created xsi:type="dcterms:W3CDTF">2016-10-25T15:47:35Z</dcterms:created>
  <dcterms:modified xsi:type="dcterms:W3CDTF">2017-02-23T16:53:20Z</dcterms:modified>
</cp:coreProperties>
</file>